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8.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8_{11D6FCD9-C98B-428C-A7FB-A560C95AB33C}" xr6:coauthVersionLast="47" xr6:coauthVersionMax="47" xr10:uidLastSave="{00000000-0000-0000-0000-000000000000}"/>
  <bookViews>
    <workbookView xWindow="-108" yWindow="-108" windowWidth="23256" windowHeight="12456" xr2:uid="{F9958338-4676-4471-9AB9-0BF35D7C920D}"/>
  </bookViews>
  <sheets>
    <sheet name="Pivot Report" sheetId="1" r:id="rId1"/>
    <sheet name="Dashboard" sheetId="8" r:id="rId2"/>
    <sheet name="Daily Visits" sheetId="4" r:id="rId3"/>
    <sheet name="Average Wait Time" sheetId="6" r:id="rId4"/>
    <sheet name="Satisfaction Score" sheetId="7" r:id="rId5"/>
  </sheets>
  <definedNames>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5"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dcccd9fc-16dc-45e5-a9da-114d36e5fd99" name="Hospital Emergency Room Data" connection="Query - Hospital Emergency Room Data"/>
          <x15:modelTable id="Calender_Table_5c002fd6-16a3-4eaa-8542-24068dcf948a"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Lst>
</workbook>
</file>

<file path=xl/calcChain.xml><?xml version="1.0" encoding="utf-8"?>
<calcChain xmlns="http://schemas.openxmlformats.org/spreadsheetml/2006/main">
  <c r="G40"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542BC20-5C4B-4AB3-AC2E-F2C1C7BE8D5F}" name="Query - Calender_Table" description="Connection to the 'Calender_Table' query in the workbook." type="100" refreshedVersion="8" minRefreshableVersion="5">
    <extLst>
      <ext xmlns:x15="http://schemas.microsoft.com/office/spreadsheetml/2010/11/main" uri="{DE250136-89BD-433C-8126-D09CA5730AF9}">
        <x15:connection id="113d8cb7-4fa2-4e87-97c7-d5a04977b5ff"/>
      </ext>
    </extLst>
  </connection>
  <connection id="2" xr16:uid="{4EF79045-4D19-4584-A0B9-6B7BE4AA6067}"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f8d16f98-ffff-41e9-8c58-912b50365ed4"/>
      </ext>
    </extLst>
  </connection>
  <connection id="3" xr16:uid="{40485D41-C398-4920-BD45-067182DAA1B3}"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<sst xmlns="http://schemas.openxmlformats.org/spreadsheetml/2006/main" count="155" uniqueCount="73">
  <si>
    <t>Count of Patient Id</t>
  </si>
  <si>
    <t>Average of Patient Waittime</t>
  </si>
  <si>
    <t>Average of Patient Satisfaction Score</t>
  </si>
  <si>
    <t>Row Labels</t>
  </si>
  <si>
    <t>Grand Total</t>
  </si>
  <si>
    <t>Not Admitted</t>
  </si>
  <si>
    <t>Admitted</t>
  </si>
  <si>
    <t>Average wait Time</t>
  </si>
  <si>
    <t>Daily Trend Of No of Patient</t>
  </si>
  <si>
    <t>Satisfaction Score Daily Trend</t>
  </si>
  <si>
    <t>Count of Patient Admission Flag</t>
  </si>
  <si>
    <t>Count of Patient Admission Flag2</t>
  </si>
  <si>
    <t>Admission Status</t>
  </si>
  <si>
    <t>0-9</t>
  </si>
  <si>
    <t>10-19</t>
  </si>
  <si>
    <t>20-29</t>
  </si>
  <si>
    <t>30-39</t>
  </si>
  <si>
    <t>40-49</t>
  </si>
  <si>
    <t>50-59</t>
  </si>
  <si>
    <t>60-69</t>
  </si>
  <si>
    <t>70-79</t>
  </si>
  <si>
    <t>Sum of Patient Age</t>
  </si>
  <si>
    <t>Male</t>
  </si>
  <si>
    <t>None</t>
  </si>
  <si>
    <t>Delay</t>
  </si>
  <si>
    <t>Female</t>
  </si>
  <si>
    <t>Ontime</t>
  </si>
  <si>
    <t>General Practice</t>
  </si>
  <si>
    <t>Orthopedics</t>
  </si>
  <si>
    <t>Physiotherapy</t>
  </si>
  <si>
    <t>Gastroenterology</t>
  </si>
  <si>
    <t>Renal</t>
  </si>
  <si>
    <t>Cardiology</t>
  </si>
  <si>
    <t>Age Group wise Analysis</t>
  </si>
  <si>
    <t>Count of Patient Gender</t>
  </si>
  <si>
    <t>Neurology</t>
  </si>
  <si>
    <t>Count of Department Referral</t>
  </si>
  <si>
    <t>2024</t>
  </si>
  <si>
    <t>Patient</t>
  </si>
  <si>
    <t>% of Total</t>
  </si>
  <si>
    <t>Status in %</t>
  </si>
  <si>
    <t>Sum of Patient Satisfaction Score</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</si>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</sst>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sz val="11"/>
      <color theme="1"/>
      <name val="Calibri"/>
      <family val="2"/>
      <scheme val="minor"/>
    </font>
    <font>
      <b/>
      <sz val="14"/>
      <color theme="1"/>
      <name val="Calibri"/>
      <family val="2"/>
      <scheme val="minor"/>
    </font>
    <font>
      <sz val="14"/>
      <color theme="1"/>
      <name val="Calibri"/>
      <family val="2"/>
      <scheme val="minor"/>
    </font>
    <font>
      <u/>
      <sz val="11"/>
      <color theme="10"/>
      <name val="Calibri"/>
      <family val="2"/>
      <scheme val="minor"/>
    </font>
  </fonts>
  <fills count="5">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0"/>
        <bgColor indexed="64"/>
      </patternFill>
    </fill>
  </fills>
  <borders count="2">
    <border>
      <left/>
      <right/>
      <top/>
      <bottom/>
      <diagonal/>
    </border>
    <border>
      <left/>
      <right/>
      <top/>
      <bottom style="thin">
        <color indexed="64"/>
      </bottom>
      <diagonal/>
    </border>
  </borders>
  <cellStyleXfs count="3">
    <xf numFmtId="0" fontId="0" fillId="0" borderId="0"/>
    <xf numFmtId="9" fontId="1" fillId="0" borderId="0" applyFont="0" applyFill="0" applyBorder="0" applyAlignment="0" applyProtection="0"/>
    <xf numFmtId="0" fontId="4" fillId="0" borderId="0" applyNumberFormat="0" applyFill="0" applyBorder="0" applyAlignment="0" applyProtection="0"/>
  </cellStyleXfs>
  <cellXfs count="21">
    <xf numFmtId="0" fontId="0" fillId="0" borderId="0" xfId="0"/>
    <xf numFmtId="2" fontId="0" fillId="0" borderId="0" xfId="0" applyNumberFormat="1"/>
    <xf numFmtId="0" fontId="0" fillId="0" borderId="0" xfId="0" pivotButton="1"/>
    <xf numFmtId="0" fontId="0" fillId="0" borderId="0" xfId="0" applyAlignment="1">
      <alignment horizontal="left"/>
    </xf>
    <xf numFmtId="1" fontId="0" fillId="0" borderId="0" xfId="0" applyNumberFormat="1"/>
    <xf numFmtId="10" fontId="0" fillId="0" borderId="0" xfId="0" applyNumberFormat="1"/>
    <xf numFmtId="9" fontId="0" fillId="0" borderId="0" xfId="1" applyFont="1" applyAlignment="1">
      <alignment horizontal="center" vertical="center"/>
    </xf>
    <xf numFmtId="0" fontId="0" fillId="0" borderId="0" xfId="0" applyAlignment="1">
      <alignment horizontal="center" vertical="center"/>
    </xf>
    <xf numFmtId="0" fontId="0" fillId="2" borderId="0" xfId="0" applyFill="1"/>
    <xf numFmtId="0" fontId="0" fillId="2" borderId="0" xfId="0" applyFill="1" applyAlignment="1">
      <alignment horizontal="center" vertical="center"/>
    </xf>
    <xf numFmtId="9" fontId="0" fillId="2" borderId="0" xfId="1" applyFont="1" applyFill="1" applyAlignment="1">
      <alignment horizontal="center" vertical="center"/>
    </xf>
    <xf numFmtId="0" fontId="4" fillId="0" borderId="0" xfId="2"/>
    <xf numFmtId="0" fontId="2" fillId="0" borderId="0" xfId="0" applyFont="1" applyAlignment="1">
      <alignment horizontal="center"/>
    </xf>
    <xf numFmtId="1" fontId="2" fillId="0" borderId="0" xfId="0" applyNumberFormat="1" applyFont="1" applyAlignment="1">
      <alignment horizontal="center"/>
    </xf>
    <xf numFmtId="10" fontId="2" fillId="0" borderId="0" xfId="0" applyNumberFormat="1" applyFont="1" applyAlignment="1">
      <alignment horizontal="center"/>
    </xf>
    <xf numFmtId="0" fontId="3" fillId="0" borderId="0" xfId="0" applyFont="1" applyAlignment="1">
      <alignment horizontal="center"/>
    </xf>
    <xf numFmtId="0" fontId="2" fillId="3" borderId="0" xfId="0" applyFont="1" applyFill="1" applyAlignment="1">
      <alignment horizontal="center"/>
    </xf>
    <xf numFmtId="1" fontId="2" fillId="3" borderId="0" xfId="0" applyNumberFormat="1" applyFont="1" applyFill="1" applyAlignment="1">
      <alignment horizontal="center"/>
    </xf>
    <xf numFmtId="10" fontId="2" fillId="3" borderId="0" xfId="0" applyNumberFormat="1" applyFont="1" applyFill="1" applyAlignment="1">
      <alignment horizontal="center"/>
    </xf>
    <xf numFmtId="0" fontId="3" fillId="3" borderId="0" xfId="0" applyFont="1" applyFill="1" applyAlignment="1">
      <alignment horizontal="center"/>
    </xf>
    <xf numFmtId="0" fontId="0" fillId="4" borderId="1" xfId="0" applyFill="1" applyBorder="1"/>
  </cellXfs>
  <cellStyles count="3">
    <cellStyle name="Hyperlink" xfId="2" builtinId="8"/>
    <cellStyle name="Normal" xfId="0" builtinId="0"/>
    <cellStyle name="Percent" xfId="1" builtinId="5"/>
  </cellStyles>
  <dxfs count="31">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2" formatCode="0.00"/>
    </dxf>
    <dxf>
      <numFmt numFmtId="14" formatCode="0.00%"/>
    </dxf>
    <dxf>
      <numFmt numFmtId="1" formatCode="0"/>
    </dxf>
    <dxf>
      <numFmt numFmtId="1" formatCode="0"/>
    </dxf>
    <dxf>
      <numFmt numFmtId="2" formatCode="0.00"/>
    </dxf>
    <dxf>
      <numFmt numFmtId="2" formatCode="0.00"/>
    </dxf>
    <dxf>
      <font>
        <b/>
        <color theme="1"/>
      </font>
      <border>
        <bottom style="thin">
          <color theme="5"/>
        </bottom>
        <vertical/>
        <horizontal/>
      </border>
    </dxf>
    <dxf>
      <font>
        <color theme="1"/>
      </font>
      <border diagonalUp="0" diagonalDown="0">
        <left/>
        <right/>
        <top/>
        <bottom/>
        <vertical/>
        <horizontal/>
      </border>
    </dxf>
    <dxf>
      <font>
        <sz val="10"/>
      </font>
      <fill>
        <patternFill>
          <bgColor theme="0" tint="-4.9989318521683403E-2"/>
        </patternFill>
      </fill>
      <border diagonalUp="0" diagonalDown="0">
        <left/>
        <right/>
        <top/>
        <bottom/>
        <vertical/>
        <horizontal/>
      </border>
    </dxf>
    <dxf>
      <font>
        <b/>
        <color theme="1"/>
      </font>
      <border>
        <bottom style="thin">
          <color theme="0" tint="-0.34998626667073579"/>
        </bottom>
        <vertical/>
        <horizontal/>
      </border>
    </dxf>
    <dxf>
      <font>
        <color theme="1"/>
      </font>
      <fill>
        <patternFill>
          <bgColor theme="0" tint="-4.9989318521683403E-2"/>
        </patternFill>
      </fill>
      <border diagonalUp="0" diagonalDown="0">
        <left/>
        <right/>
        <top/>
        <bottom/>
        <vertical/>
        <horizontal/>
      </border>
    </dxf>
    <dxf>
      <font>
        <sz val="7"/>
        <color theme="1"/>
      </font>
      <fill>
        <patternFill>
          <bgColor theme="5" tint="0.39994506668294322"/>
        </patternFill>
      </fill>
      <border>
        <bottom style="thin">
          <color theme="5"/>
        </bottom>
        <vertical/>
        <horizontal/>
      </border>
    </dxf>
    <dxf>
      <font>
        <color theme="1"/>
      </font>
      <fill>
        <patternFill>
          <bgColor theme="2" tint="-0.499984740745262"/>
        </patternFill>
      </fill>
      <border diagonalUp="0" diagonalDown="0">
        <left/>
        <right/>
        <top/>
        <bottom/>
        <vertical/>
        <horizontal/>
      </border>
    </dxf>
  </dxfs>
  <tableStyles count="5" defaultTableStyle="TableStyleMedium2" defaultPivotStyle="PivotStyleLight16">
    <tableStyle name="Invisible" pivot="0" table="0" count="0" xr9:uid="{141EF63D-F06F-4CA1-AAAA-A536D26A12B8}"/>
    <tableStyle name="My Style" pivot="0" table="0" count="10" xr9:uid="{027303D5-968D-407B-8351-93D9CE09FE5C}">
      <tableStyleElement type="wholeTable" dxfId="30"/>
      <tableStyleElement type="headerRow" dxfId="29"/>
    </tableStyle>
    <tableStyle name="s" pivot="0" table="0" count="10" xr9:uid="{6DC45DF6-535F-47B8-85E7-485031D6EF70}">
      <tableStyleElement type="wholeTable" dxfId="28"/>
      <tableStyleElement type="headerRow" dxfId="27"/>
    </tableStyle>
    <tableStyle name="Slice Slice" pivot="0" table="0" count="3" xr9:uid="{C1A7FBD1-034C-4872-AA16-09991A68E288}">
      <tableStyleElement type="wholeTable" dxfId="26"/>
    </tableStyle>
    <tableStyle name="SlicerStyleDark2 2" pivot="0" table="0" count="10" xr9:uid="{14E936CC-FCF8-470B-8923-05806CBC52EB}">
      <tableStyleElement type="wholeTable" dxfId="25"/>
      <tableStyleElement type="headerRow" dxfId="24"/>
    </tableStyle>
  </tableStyles>
  <extLst>
    <ext xmlns:x14="http://schemas.microsoft.com/office/spreadsheetml/2009/9/main" uri="{46F421CA-312F-682f-3DD2-61675219B42D}">
      <x14:dxfs count="2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ill>
            <patternFill>
              <bgColor theme="0" tint="-4.9989318521683403E-2"/>
            </patternFill>
          </fill>
        </dxf>
        <dxf>
          <fill>
            <patternFill>
              <bgColor theme="0" tint="-0.34998626667073579"/>
            </patternFill>
          </fill>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25"/>
            <x14:slicerStyleElement type="unselectedItemWithNoData" dxfId="24"/>
            <x14:slicerStyleElement type="selectedItemWithData" dxfId="23"/>
            <x14:slicerStyleElement type="selectedItemWithNoData" dxfId="22"/>
            <x14:slicerStyleElement type="hoveredUnselectedItemWithData" dxfId="21"/>
            <x14:slicerStyleElement type="hoveredSelectedItemWithData" dxfId="20"/>
            <x14:slicerStyleElement type="hoveredUnselectedItemWithNoData" dxfId="19"/>
            <x14:slicerStyleElement type="hoveredSelectedItemWithNoData" dxfId="18"/>
          </x14:slicerStyleElements>
        </x14:slicerStyle>
        <x14:slicerStyle name="s">
          <x14:slicerStyleElements>
            <x14:slicerStyleElement type="unselectedItemWithData" dxfId="17"/>
            <x14:slicerStyleElement type="unselectedItemWithNoData" dxfId="16"/>
            <x14:slicerStyleElement type="selectedItemWithData" dxfId="15"/>
            <x14:slicerStyleElement type="selectedItemWithNoData" dxfId="14"/>
            <x14:slicerStyleElement type="hoveredUnselectedItemWithData" dxfId="13"/>
            <x14:slicerStyleElement type="hoveredSelectedItemWithData" dxfId="12"/>
            <x14:slicerStyleElement type="hoveredUnselectedItemWithNoData" dxfId="11"/>
            <x14:slicerStyleElement type="hoveredSelectedItemWithNoData" dxfId="10"/>
          </x14:slicerStyleElements>
        </x14:slicerStyle>
        <x14:slicerStyle name="Slice Slice">
          <x14:slicerStyleElements>
            <x14:slicerStyleElement type="unselectedItemWithData" dxfId="9"/>
            <x14:slicerStyleElement type="selectedItemWithData" dxfId="8"/>
          </x14:slicerStyleElements>
        </x14:slicerStyle>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3" Type="http://schemas.openxmlformats.org/officeDocument/2006/relationships/worksheet" Target="worksheets/sheet3.xml"/><Relationship Id="rId21" Type="http://schemas.openxmlformats.org/officeDocument/2006/relationships/theme" Target="theme/theme1.xml"/><Relationship Id="rId34" Type="http://schemas.openxmlformats.org/officeDocument/2006/relationships/customXml" Target="../customXml/item8.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Report!PivotTable7</c:name>
    <c:fmtId val="6"/>
  </c:pivotSource>
  <c:chart>
    <c:autoTitleDeleted val="0"/>
    <c:pivotFmts>
      <c:pivotFmt>
        <c:idx val="0"/>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25400" cap="flat" cmpd="sng" algn="ctr">
            <a:solidFill>
              <a:schemeClr val="accent2"/>
            </a:solidFill>
            <a:miter lim="800000"/>
          </a:ln>
          <a:effectLst/>
        </c:spPr>
      </c:pivotFmt>
      <c:pivotFmt>
        <c:idx val="3"/>
        <c:spPr>
          <a:noFill/>
          <a:ln w="25400" cap="flat" cmpd="sng" algn="ctr">
            <a:solidFill>
              <a:schemeClr val="accent2"/>
            </a:solidFill>
            <a:miter lim="800000"/>
          </a:ln>
          <a:effectLst/>
        </c:spPr>
      </c:pivotFmt>
    </c:pivotFmts>
    <c:plotArea>
      <c:layout>
        <c:manualLayout>
          <c:layoutTarget val="inner"/>
          <c:xMode val="edge"/>
          <c:yMode val="edge"/>
          <c:x val="0.12535470212449862"/>
          <c:y val="0.22088353413654618"/>
          <c:w val="0.82956531966523051"/>
          <c:h val="0.55823293172690758"/>
        </c:manualLayout>
      </c:layout>
      <c:barChart>
        <c:barDir val="bar"/>
        <c:grouping val="clustered"/>
        <c:varyColors val="0"/>
        <c:ser>
          <c:idx val="0"/>
          <c:order val="0"/>
          <c:tx>
            <c:strRef>
              <c:f>'Pivot Report'!$B$38</c:f>
              <c:strCache>
                <c:ptCount val="1"/>
                <c:pt idx="0">
                  <c:v>Count of Patient Admission Flag</c:v>
                </c:pt>
              </c:strCache>
            </c:strRef>
          </c:tx>
          <c:spPr>
            <a:noFill/>
            <a:ln w="25400" cap="flat" cmpd="sng" algn="ctr">
              <a:solidFill>
                <a:schemeClr val="accent1"/>
              </a:solidFill>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Report'!$A$39:$A$41</c:f>
              <c:strCache>
                <c:ptCount val="2"/>
                <c:pt idx="0">
                  <c:v>Admitted</c:v>
                </c:pt>
                <c:pt idx="1">
                  <c:v>Not Admitted</c:v>
                </c:pt>
              </c:strCache>
            </c:strRef>
          </c:cat>
          <c:val>
            <c:numRef>
              <c:f>'Pivot Report'!$B$39:$B$41</c:f>
              <c:numCache>
                <c:formatCode>0</c:formatCode>
                <c:ptCount val="2"/>
                <c:pt idx="0">
                  <c:v>266</c:v>
                </c:pt>
                <c:pt idx="1">
                  <c:v>222</c:v>
                </c:pt>
              </c:numCache>
            </c:numRef>
          </c:val>
          <c:extLst>
            <c:ext xmlns:c16="http://schemas.microsoft.com/office/drawing/2014/chart" uri="{C3380CC4-5D6E-409C-BE32-E72D297353CC}">
              <c16:uniqueId val="{00000005-B22A-4F60-887D-6A11745E74A0}"/>
            </c:ext>
          </c:extLst>
        </c:ser>
        <c:ser>
          <c:idx val="1"/>
          <c:order val="1"/>
          <c:tx>
            <c:strRef>
              <c:f>'Pivot Report'!$C$38</c:f>
              <c:strCache>
                <c:ptCount val="1"/>
                <c:pt idx="0">
                  <c:v>Count of Patient Admission Flag2</c:v>
                </c:pt>
              </c:strCache>
            </c:strRef>
          </c:tx>
          <c:spPr>
            <a:noFill/>
            <a:ln w="25400" cap="flat" cmpd="sng" algn="ctr">
              <a:solidFill>
                <a:schemeClr val="accent2"/>
              </a:solidFill>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Report'!$A$39:$A$41</c:f>
              <c:strCache>
                <c:ptCount val="2"/>
                <c:pt idx="0">
                  <c:v>Admitted</c:v>
                </c:pt>
                <c:pt idx="1">
                  <c:v>Not Admitted</c:v>
                </c:pt>
              </c:strCache>
            </c:strRef>
          </c:cat>
          <c:val>
            <c:numRef>
              <c:f>'Pivot Report'!$C$39:$C$41</c:f>
              <c:numCache>
                <c:formatCode>0.00%</c:formatCode>
                <c:ptCount val="2"/>
                <c:pt idx="0">
                  <c:v>0.54508196721311475</c:v>
                </c:pt>
                <c:pt idx="1">
                  <c:v>0.45491803278688525</c:v>
                </c:pt>
              </c:numCache>
            </c:numRef>
          </c:val>
          <c:extLst>
            <c:ext xmlns:c16="http://schemas.microsoft.com/office/drawing/2014/chart" uri="{C3380CC4-5D6E-409C-BE32-E72D297353CC}">
              <c16:uniqueId val="{00000006-B22A-4F60-887D-6A11745E74A0}"/>
            </c:ext>
          </c:extLst>
        </c:ser>
        <c:dLbls>
          <c:dLblPos val="outEnd"/>
          <c:showLegendKey val="0"/>
          <c:showVal val="1"/>
          <c:showCatName val="0"/>
          <c:showSerName val="0"/>
          <c:showPercent val="0"/>
          <c:showBubbleSize val="0"/>
        </c:dLbls>
        <c:gapWidth val="227"/>
        <c:overlap val="-48"/>
        <c:axId val="868941864"/>
        <c:axId val="868945464"/>
      </c:barChart>
      <c:catAx>
        <c:axId val="868941864"/>
        <c:scaling>
          <c:orientation val="minMax"/>
        </c:scaling>
        <c:delete val="1"/>
        <c:axPos val="l"/>
        <c:numFmt formatCode="General" sourceLinked="1"/>
        <c:majorTickMark val="out"/>
        <c:minorTickMark val="none"/>
        <c:tickLblPos val="nextTo"/>
        <c:crossAx val="868945464"/>
        <c:crosses val="autoZero"/>
        <c:auto val="1"/>
        <c:lblAlgn val="ctr"/>
        <c:lblOffset val="100"/>
        <c:noMultiLvlLbl val="0"/>
      </c:catAx>
      <c:valAx>
        <c:axId val="868945464"/>
        <c:scaling>
          <c:orientation val="minMax"/>
        </c:scaling>
        <c:delete val="1"/>
        <c:axPos val="b"/>
        <c:numFmt formatCode="0" sourceLinked="1"/>
        <c:majorTickMark val="none"/>
        <c:minorTickMark val="none"/>
        <c:tickLblPos val="nextTo"/>
        <c:crossAx val="868941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Report!PivotTable9</c:name>
    <c:fmtId val="4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317500" algn="ctr" rotWithShape="0">
              <a:prstClr val="black">
                <a:alpha val="25000"/>
              </a:prstClr>
            </a:outerShdw>
          </a:effectLst>
        </c:spPr>
      </c:pivotFmt>
      <c:pivotFmt>
        <c:idx val="21"/>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4216694875757352"/>
          <c:y val="0.19270646052154303"/>
          <c:w val="0.74617101581310596"/>
          <c:h val="0.72519432058944444"/>
        </c:manualLayout>
      </c:layout>
      <c:doughnutChart>
        <c:varyColors val="1"/>
        <c:ser>
          <c:idx val="0"/>
          <c:order val="0"/>
          <c:tx>
            <c:strRef>
              <c:f>'Pivot Report'!$I$49</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B28D-41B7-A91D-D0AEB6D045A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B28D-41B7-A91D-D0AEB6D045A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Report'!$H$50:$H$52</c:f>
              <c:strCache>
                <c:ptCount val="2"/>
                <c:pt idx="0">
                  <c:v>Delay</c:v>
                </c:pt>
                <c:pt idx="1">
                  <c:v>Ontime</c:v>
                </c:pt>
              </c:strCache>
            </c:strRef>
          </c:cat>
          <c:val>
            <c:numRef>
              <c:f>'Pivot Report'!$I$50:$I$52</c:f>
              <c:numCache>
                <c:formatCode>0</c:formatCode>
                <c:ptCount val="2"/>
                <c:pt idx="0">
                  <c:v>288</c:v>
                </c:pt>
                <c:pt idx="1">
                  <c:v>200</c:v>
                </c:pt>
              </c:numCache>
            </c:numRef>
          </c:val>
          <c:extLst>
            <c:ext xmlns:c16="http://schemas.microsoft.com/office/drawing/2014/chart" uri="{C3380CC4-5D6E-409C-BE32-E72D297353CC}">
              <c16:uniqueId val="{00000008-7389-4E12-B477-49E725BBFB2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11764705882352941"/>
          <c:y val="0"/>
          <c:w val="0.88235294117647056"/>
          <c:h val="0.21110358614499616"/>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Report!PivotTable10</c:name>
    <c:fmtId val="3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6388654316761128"/>
          <c:y val="0.18460581346336455"/>
          <c:w val="0.71864118763810647"/>
          <c:h val="0.72149293838270212"/>
        </c:manualLayout>
      </c:layout>
      <c:doughnutChart>
        <c:varyColors val="1"/>
        <c:ser>
          <c:idx val="0"/>
          <c:order val="0"/>
          <c:tx>
            <c:strRef>
              <c:f>'Pivot Report'!$L$49</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FB6-4707-B4FA-DA0D871FE0AC}"/>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FB6-4707-B4FA-DA0D871FE0A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Report'!$K$50:$K$52</c:f>
              <c:strCache>
                <c:ptCount val="2"/>
                <c:pt idx="0">
                  <c:v>Female</c:v>
                </c:pt>
                <c:pt idx="1">
                  <c:v>Male</c:v>
                </c:pt>
              </c:strCache>
            </c:strRef>
          </c:cat>
          <c:val>
            <c:numRef>
              <c:f>'Pivot Report'!$L$50:$L$52</c:f>
              <c:numCache>
                <c:formatCode>0.00</c:formatCode>
                <c:ptCount val="2"/>
                <c:pt idx="0">
                  <c:v>232</c:v>
                </c:pt>
                <c:pt idx="1">
                  <c:v>256</c:v>
                </c:pt>
              </c:numCache>
            </c:numRef>
          </c:val>
          <c:extLst>
            <c:ext xmlns:c16="http://schemas.microsoft.com/office/drawing/2014/chart" uri="{C3380CC4-5D6E-409C-BE32-E72D297353CC}">
              <c16:uniqueId val="{00000008-3BF9-4811-B348-50DBB9FB9B6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
          <c:y val="0"/>
          <c:w val="0.3525291947202252"/>
          <c:h val="0.2677575287685488"/>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Report!PivotTable8</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419689256780525E-2"/>
          <c:y val="3.0276453872563159E-2"/>
          <c:w val="0.95624740317994261"/>
          <c:h val="0.73956941689472633"/>
        </c:manualLayout>
      </c:layout>
      <c:barChart>
        <c:barDir val="col"/>
        <c:grouping val="clustered"/>
        <c:varyColors val="0"/>
        <c:ser>
          <c:idx val="0"/>
          <c:order val="0"/>
          <c:tx>
            <c:strRef>
              <c:f>'Pivot Report'!$B$49</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Report'!$A$50:$A$58</c:f>
              <c:strCache>
                <c:ptCount val="8"/>
                <c:pt idx="0">
                  <c:v>0-9</c:v>
                </c:pt>
                <c:pt idx="1">
                  <c:v>10-19</c:v>
                </c:pt>
                <c:pt idx="2">
                  <c:v>20-29</c:v>
                </c:pt>
                <c:pt idx="3">
                  <c:v>30-39</c:v>
                </c:pt>
                <c:pt idx="4">
                  <c:v>40-49</c:v>
                </c:pt>
                <c:pt idx="5">
                  <c:v>50-59</c:v>
                </c:pt>
                <c:pt idx="6">
                  <c:v>60-69</c:v>
                </c:pt>
                <c:pt idx="7">
                  <c:v>70-79</c:v>
                </c:pt>
              </c:strCache>
            </c:strRef>
          </c:cat>
          <c:val>
            <c:numRef>
              <c:f>'Pivot Report'!$B$50:$B$58</c:f>
              <c:numCache>
                <c:formatCode>0</c:formatCode>
                <c:ptCount val="8"/>
                <c:pt idx="0">
                  <c:v>384</c:v>
                </c:pt>
                <c:pt idx="1">
                  <c:v>1122</c:v>
                </c:pt>
                <c:pt idx="2">
                  <c:v>1266</c:v>
                </c:pt>
                <c:pt idx="3">
                  <c:v>1548</c:v>
                </c:pt>
                <c:pt idx="4">
                  <c:v>3303</c:v>
                </c:pt>
                <c:pt idx="5">
                  <c:v>3961</c:v>
                </c:pt>
                <c:pt idx="6">
                  <c:v>3843</c:v>
                </c:pt>
                <c:pt idx="7">
                  <c:v>4341</c:v>
                </c:pt>
              </c:numCache>
            </c:numRef>
          </c:val>
          <c:extLst>
            <c:ext xmlns:c16="http://schemas.microsoft.com/office/drawing/2014/chart" uri="{C3380CC4-5D6E-409C-BE32-E72D297353CC}">
              <c16:uniqueId val="{00000001-E1FB-432D-94D6-5122986B1C08}"/>
            </c:ext>
          </c:extLst>
        </c:ser>
        <c:dLbls>
          <c:dLblPos val="inEnd"/>
          <c:showLegendKey val="0"/>
          <c:showVal val="1"/>
          <c:showCatName val="0"/>
          <c:showSerName val="0"/>
          <c:showPercent val="0"/>
          <c:showBubbleSize val="0"/>
        </c:dLbls>
        <c:gapWidth val="41"/>
        <c:axId val="686213328"/>
        <c:axId val="686211528"/>
      </c:barChart>
      <c:catAx>
        <c:axId val="6862133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686211528"/>
        <c:crosses val="autoZero"/>
        <c:auto val="1"/>
        <c:lblAlgn val="ctr"/>
        <c:lblOffset val="100"/>
        <c:noMultiLvlLbl val="0"/>
      </c:catAx>
      <c:valAx>
        <c:axId val="686211528"/>
        <c:scaling>
          <c:orientation val="minMax"/>
        </c:scaling>
        <c:delete val="1"/>
        <c:axPos val="l"/>
        <c:numFmt formatCode="0" sourceLinked="1"/>
        <c:majorTickMark val="none"/>
        <c:minorTickMark val="none"/>
        <c:tickLblPos val="nextTo"/>
        <c:crossAx val="686213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Report!PivotTable11</c:name>
    <c:fmtId val="3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31342236355060904"/>
          <c:y val="7.1652987820966824E-2"/>
          <c:w val="0.62448383650536143"/>
          <c:h val="0.71842103070449526"/>
        </c:manualLayout>
      </c:layout>
      <c:barChart>
        <c:barDir val="bar"/>
        <c:grouping val="clustered"/>
        <c:varyColors val="0"/>
        <c:ser>
          <c:idx val="0"/>
          <c:order val="0"/>
          <c:tx>
            <c:strRef>
              <c:f>'Pivot Report'!$Q$49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Report'!$P$50:$P$58</c:f>
              <c:strCache>
                <c:ptCount val="8"/>
                <c:pt idx="0">
                  <c:v>Renal</c:v>
                </c:pt>
                <c:pt idx="1">
                  <c:v>Neurology</c:v>
                </c:pt>
                <c:pt idx="2">
                  <c:v>Cardiology</c:v>
                </c:pt>
                <c:pt idx="3">
                  <c:v>Gastroenterology</c:v>
                </c:pt>
                <c:pt idx="4">
                  <c:v>Physiotherapy</c:v>
                </c:pt>
                <c:pt idx="5">
                  <c:v>Orthopedics</c:v>
                </c:pt>
                <c:pt idx="6">
                  <c:v>General Practice</c:v>
                </c:pt>
                <c:pt idx="7">
                  <c:v>None</c:v>
                </c:pt>
              </c:strCache>
            </c:strRef>
          </c:cat>
          <c:val>
            <c:numRef>
              <c:f>'Pivot Report'!$Q$50:$Q$58</c:f>
              <c:numCache>
                <c:formatCode>0.00</c:formatCode>
                <c:ptCount val="8"/>
                <c:pt idx="0">
                  <c:v>4</c:v>
                </c:pt>
                <c:pt idx="1">
                  <c:v>7</c:v>
                </c:pt>
                <c:pt idx="2">
                  <c:v>11</c:v>
                </c:pt>
                <c:pt idx="3">
                  <c:v>11</c:v>
                </c:pt>
                <c:pt idx="4">
                  <c:v>12</c:v>
                </c:pt>
                <c:pt idx="5">
                  <c:v>60</c:v>
                </c:pt>
                <c:pt idx="6">
                  <c:v>93</c:v>
                </c:pt>
                <c:pt idx="7">
                  <c:v>290</c:v>
                </c:pt>
              </c:numCache>
            </c:numRef>
          </c:val>
          <c:extLst>
            <c:ext xmlns:c16="http://schemas.microsoft.com/office/drawing/2014/chart" uri="{C3380CC4-5D6E-409C-BE32-E72D297353CC}">
              <c16:uniqueId val="{00000009-2F07-4C3B-85DC-5AFB46F716B0}"/>
            </c:ext>
          </c:extLst>
        </c:ser>
        <c:dLbls>
          <c:dLblPos val="outEnd"/>
          <c:showLegendKey val="0"/>
          <c:showVal val="1"/>
          <c:showCatName val="0"/>
          <c:showSerName val="0"/>
          <c:showPercent val="0"/>
          <c:showBubbleSize val="0"/>
        </c:dLbls>
        <c:gapWidth val="115"/>
        <c:overlap val="-20"/>
        <c:axId val="686212608"/>
        <c:axId val="850643520"/>
      </c:barChart>
      <c:catAx>
        <c:axId val="686212608"/>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850643520"/>
        <c:crosses val="autoZero"/>
        <c:auto val="1"/>
        <c:lblAlgn val="ctr"/>
        <c:lblOffset val="100"/>
        <c:noMultiLvlLbl val="0"/>
      </c:catAx>
      <c:valAx>
        <c:axId val="850643520"/>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212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Report!PivotTable4</c:name>
    <c:fmtId val="2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132661988679988"/>
          <c:y val="0.43290635062369781"/>
          <c:w val="0.69359401503383511"/>
          <c:h val="0.52777777777777779"/>
        </c:manualLayout>
      </c:layout>
      <c:areaChart>
        <c:grouping val="standard"/>
        <c:varyColors val="0"/>
        <c:ser>
          <c:idx val="0"/>
          <c:order val="0"/>
          <c:tx>
            <c:strRef>
              <c:f>'Pivot Report'!$D$4</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cat>
            <c:strRef>
              <c:f>'Pivot Report'!$C$5:$C$36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Report'!$D$5:$D$36</c:f>
              <c:numCache>
                <c:formatCode>General</c:formatCode>
                <c:ptCount val="31"/>
                <c:pt idx="0">
                  <c:v>17</c:v>
                </c:pt>
                <c:pt idx="1">
                  <c:v>19</c:v>
                </c:pt>
                <c:pt idx="2">
                  <c:v>12</c:v>
                </c:pt>
                <c:pt idx="3">
                  <c:v>9</c:v>
                </c:pt>
                <c:pt idx="4">
                  <c:v>15</c:v>
                </c:pt>
                <c:pt idx="5">
                  <c:v>10</c:v>
                </c:pt>
                <c:pt idx="6">
                  <c:v>18</c:v>
                </c:pt>
                <c:pt idx="7">
                  <c:v>19</c:v>
                </c:pt>
                <c:pt idx="8">
                  <c:v>19</c:v>
                </c:pt>
                <c:pt idx="9">
                  <c:v>13</c:v>
                </c:pt>
                <c:pt idx="10">
                  <c:v>15</c:v>
                </c:pt>
                <c:pt idx="11">
                  <c:v>25</c:v>
                </c:pt>
                <c:pt idx="12">
                  <c:v>19</c:v>
                </c:pt>
                <c:pt idx="13">
                  <c:v>15</c:v>
                </c:pt>
                <c:pt idx="14">
                  <c:v>14</c:v>
                </c:pt>
                <c:pt idx="15">
                  <c:v>20</c:v>
                </c:pt>
                <c:pt idx="16">
                  <c:v>14</c:v>
                </c:pt>
                <c:pt idx="17">
                  <c:v>14</c:v>
                </c:pt>
                <c:pt idx="18">
                  <c:v>17</c:v>
                </c:pt>
                <c:pt idx="19">
                  <c:v>16</c:v>
                </c:pt>
                <c:pt idx="20">
                  <c:v>18</c:v>
                </c:pt>
                <c:pt idx="21">
                  <c:v>8</c:v>
                </c:pt>
                <c:pt idx="22">
                  <c:v>17</c:v>
                </c:pt>
                <c:pt idx="23">
                  <c:v>11</c:v>
                </c:pt>
                <c:pt idx="24">
                  <c:v>15</c:v>
                </c:pt>
                <c:pt idx="25">
                  <c:v>13</c:v>
                </c:pt>
                <c:pt idx="26">
                  <c:v>17</c:v>
                </c:pt>
                <c:pt idx="27">
                  <c:v>20</c:v>
                </c:pt>
                <c:pt idx="28">
                  <c:v>20</c:v>
                </c:pt>
                <c:pt idx="29">
                  <c:v>13</c:v>
                </c:pt>
                <c:pt idx="30">
                  <c:v>16</c:v>
                </c:pt>
              </c:numCache>
            </c:numRef>
          </c:val>
          <c:extLst>
            <c:ext xmlns:c16="http://schemas.microsoft.com/office/drawing/2014/chart" uri="{C3380CC4-5D6E-409C-BE32-E72D297353CC}">
              <c16:uniqueId val="{00000001-6453-4B39-8EDE-979503E08506}"/>
            </c:ext>
          </c:extLst>
        </c:ser>
        <c:dLbls>
          <c:showLegendKey val="0"/>
          <c:showVal val="0"/>
          <c:showCatName val="0"/>
          <c:showSerName val="0"/>
          <c:showPercent val="0"/>
          <c:showBubbleSize val="0"/>
        </c:dLbls>
        <c:axId val="869441112"/>
        <c:axId val="869439672"/>
      </c:areaChart>
      <c:catAx>
        <c:axId val="869441112"/>
        <c:scaling>
          <c:orientation val="minMax"/>
        </c:scaling>
        <c:delete val="1"/>
        <c:axPos val="b"/>
        <c:numFmt formatCode="General" sourceLinked="1"/>
        <c:majorTickMark val="out"/>
        <c:minorTickMark val="none"/>
        <c:tickLblPos val="nextTo"/>
        <c:crossAx val="869439672"/>
        <c:crosses val="autoZero"/>
        <c:auto val="1"/>
        <c:lblAlgn val="ctr"/>
        <c:lblOffset val="100"/>
        <c:noMultiLvlLbl val="0"/>
      </c:catAx>
      <c:valAx>
        <c:axId val="869439672"/>
        <c:scaling>
          <c:orientation val="minMax"/>
        </c:scaling>
        <c:delete val="1"/>
        <c:axPos val="l"/>
        <c:numFmt formatCode="General" sourceLinked="1"/>
        <c:majorTickMark val="none"/>
        <c:minorTickMark val="none"/>
        <c:tickLblPos val="nextTo"/>
        <c:crossAx val="86944111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Report!PivotTable5</c:name>
    <c:fmtId val="39"/>
  </c:pivotSource>
  <c:chart>
    <c:autoTitleDeleted val="1"/>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99017034635377E-3"/>
          <c:y val="7.8897637795275588E-2"/>
          <c:w val="0.94542483660130716"/>
          <c:h val="0.92110236220472441"/>
        </c:manualLayout>
      </c:layout>
      <c:areaChart>
        <c:grouping val="standard"/>
        <c:varyColors val="0"/>
        <c:ser>
          <c:idx val="0"/>
          <c:order val="0"/>
          <c:tx>
            <c:strRef>
              <c:f>'Pivot Report'!$H$4</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cat>
            <c:strRef>
              <c:f>'Pivot Report'!$G$5:$G$36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Report'!$H$5:$H$36</c:f>
              <c:numCache>
                <c:formatCode>0.00</c:formatCode>
                <c:ptCount val="31"/>
                <c:pt idx="0">
                  <c:v>36.941176470588232</c:v>
                </c:pt>
                <c:pt idx="1">
                  <c:v>30.842105263157894</c:v>
                </c:pt>
                <c:pt idx="2">
                  <c:v>31.833333333333332</c:v>
                </c:pt>
                <c:pt idx="3">
                  <c:v>33.777777777777779</c:v>
                </c:pt>
                <c:pt idx="4">
                  <c:v>30.466666666666665</c:v>
                </c:pt>
                <c:pt idx="5">
                  <c:v>38.799999999999997</c:v>
                </c:pt>
                <c:pt idx="6">
                  <c:v>30.277777777777779</c:v>
                </c:pt>
                <c:pt idx="7">
                  <c:v>35.157894736842103</c:v>
                </c:pt>
                <c:pt idx="8">
                  <c:v>37.94736842105263</c:v>
                </c:pt>
                <c:pt idx="9">
                  <c:v>33.92307692307692</c:v>
                </c:pt>
                <c:pt idx="10">
                  <c:v>33.200000000000003</c:v>
                </c:pt>
                <c:pt idx="11">
                  <c:v>40.159999999999997</c:v>
                </c:pt>
                <c:pt idx="12">
                  <c:v>41.578947368421055</c:v>
                </c:pt>
                <c:pt idx="13">
                  <c:v>36.866666666666667</c:v>
                </c:pt>
                <c:pt idx="14">
                  <c:v>33.714285714285715</c:v>
                </c:pt>
                <c:pt idx="15">
                  <c:v>33.700000000000003</c:v>
                </c:pt>
                <c:pt idx="16">
                  <c:v>34.642857142857146</c:v>
                </c:pt>
                <c:pt idx="17">
                  <c:v>36.5</c:v>
                </c:pt>
                <c:pt idx="18">
                  <c:v>33.058823529411768</c:v>
                </c:pt>
                <c:pt idx="19">
                  <c:v>33.5625</c:v>
                </c:pt>
                <c:pt idx="20">
                  <c:v>31.555555555555557</c:v>
                </c:pt>
                <c:pt idx="21">
                  <c:v>38.375</c:v>
                </c:pt>
                <c:pt idx="22">
                  <c:v>35.411764705882355</c:v>
                </c:pt>
                <c:pt idx="23">
                  <c:v>34.909090909090907</c:v>
                </c:pt>
                <c:pt idx="24">
                  <c:v>35.133333333333333</c:v>
                </c:pt>
                <c:pt idx="25">
                  <c:v>35.07692307692308</c:v>
                </c:pt>
                <c:pt idx="26">
                  <c:v>35.352941176470587</c:v>
                </c:pt>
                <c:pt idx="27">
                  <c:v>36.6</c:v>
                </c:pt>
                <c:pt idx="28">
                  <c:v>35.799999999999997</c:v>
                </c:pt>
                <c:pt idx="29">
                  <c:v>30.307692307692307</c:v>
                </c:pt>
                <c:pt idx="30">
                  <c:v>42.75</c:v>
                </c:pt>
              </c:numCache>
            </c:numRef>
          </c:val>
          <c:extLst>
            <c:ext xmlns:c16="http://schemas.microsoft.com/office/drawing/2014/chart" uri="{C3380CC4-5D6E-409C-BE32-E72D297353CC}">
              <c16:uniqueId val="{00000001-363B-4DA3-ADA4-039F035F7C68}"/>
            </c:ext>
          </c:extLst>
        </c:ser>
        <c:dLbls>
          <c:showLegendKey val="0"/>
          <c:showVal val="0"/>
          <c:showCatName val="0"/>
          <c:showSerName val="0"/>
          <c:showPercent val="0"/>
          <c:showBubbleSize val="0"/>
        </c:dLbls>
        <c:axId val="907300136"/>
        <c:axId val="907299056"/>
      </c:areaChart>
      <c:catAx>
        <c:axId val="907300136"/>
        <c:scaling>
          <c:orientation val="minMax"/>
        </c:scaling>
        <c:delete val="1"/>
        <c:axPos val="b"/>
        <c:numFmt formatCode="General" sourceLinked="1"/>
        <c:majorTickMark val="out"/>
        <c:minorTickMark val="none"/>
        <c:tickLblPos val="nextTo"/>
        <c:crossAx val="907299056"/>
        <c:crosses val="autoZero"/>
        <c:auto val="1"/>
        <c:lblAlgn val="ctr"/>
        <c:lblOffset val="100"/>
        <c:noMultiLvlLbl val="0"/>
      </c:catAx>
      <c:valAx>
        <c:axId val="907299056"/>
        <c:scaling>
          <c:orientation val="minMax"/>
        </c:scaling>
        <c:delete val="1"/>
        <c:axPos val="l"/>
        <c:numFmt formatCode="0.00" sourceLinked="1"/>
        <c:majorTickMark val="none"/>
        <c:minorTickMark val="none"/>
        <c:tickLblPos val="nextTo"/>
        <c:crossAx val="90730013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Report!PivotTable6</c:name>
    <c:fmtId val="44"/>
  </c:pivotSource>
  <c:chart>
    <c:autoTitleDeleted val="1"/>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779624321153408E-3"/>
          <c:y val="9.3031737015319263E-2"/>
          <c:w val="0.93888888888888888"/>
          <c:h val="0.89814814814814814"/>
        </c:manualLayout>
      </c:layout>
      <c:areaChart>
        <c:grouping val="standard"/>
        <c:varyColors val="0"/>
        <c:ser>
          <c:idx val="0"/>
          <c:order val="0"/>
          <c:tx>
            <c:strRef>
              <c:f>'Pivot Report'!$K$4</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cat>
            <c:strRef>
              <c:f>'Pivot Report'!$J$5:$J$36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Report'!$K$5:$K$36</c:f>
              <c:numCache>
                <c:formatCode>0.00</c:formatCode>
                <c:ptCount val="31"/>
                <c:pt idx="0">
                  <c:v>33</c:v>
                </c:pt>
                <c:pt idx="1">
                  <c:v>16</c:v>
                </c:pt>
                <c:pt idx="2">
                  <c:v>19</c:v>
                </c:pt>
                <c:pt idx="3">
                  <c:v>8</c:v>
                </c:pt>
                <c:pt idx="4">
                  <c:v>32</c:v>
                </c:pt>
                <c:pt idx="5">
                  <c:v>7</c:v>
                </c:pt>
                <c:pt idx="6">
                  <c:v>14</c:v>
                </c:pt>
                <c:pt idx="7">
                  <c:v>28</c:v>
                </c:pt>
                <c:pt idx="8">
                  <c:v>32</c:v>
                </c:pt>
                <c:pt idx="9">
                  <c:v>14</c:v>
                </c:pt>
                <c:pt idx="10">
                  <c:v>39</c:v>
                </c:pt>
                <c:pt idx="11">
                  <c:v>37</c:v>
                </c:pt>
                <c:pt idx="12">
                  <c:v>13</c:v>
                </c:pt>
                <c:pt idx="13">
                  <c:v>15</c:v>
                </c:pt>
                <c:pt idx="14">
                  <c:v>13</c:v>
                </c:pt>
                <c:pt idx="15">
                  <c:v>10</c:v>
                </c:pt>
                <c:pt idx="16">
                  <c:v>18</c:v>
                </c:pt>
                <c:pt idx="17">
                  <c:v>15</c:v>
                </c:pt>
                <c:pt idx="18">
                  <c:v>25</c:v>
                </c:pt>
                <c:pt idx="19">
                  <c:v>30</c:v>
                </c:pt>
                <c:pt idx="20">
                  <c:v>14</c:v>
                </c:pt>
                <c:pt idx="21">
                  <c:v>15</c:v>
                </c:pt>
                <c:pt idx="22">
                  <c:v>13</c:v>
                </c:pt>
                <c:pt idx="23">
                  <c:v>14</c:v>
                </c:pt>
                <c:pt idx="24">
                  <c:v>18</c:v>
                </c:pt>
                <c:pt idx="25">
                  <c:v>6</c:v>
                </c:pt>
                <c:pt idx="26">
                  <c:v>62</c:v>
                </c:pt>
                <c:pt idx="27">
                  <c:v>46</c:v>
                </c:pt>
                <c:pt idx="28">
                  <c:v>41</c:v>
                </c:pt>
                <c:pt idx="29">
                  <c:v>25</c:v>
                </c:pt>
                <c:pt idx="30">
                  <c:v>27</c:v>
                </c:pt>
              </c:numCache>
            </c:numRef>
          </c:val>
          <c:extLst>
            <c:ext xmlns:c16="http://schemas.microsoft.com/office/drawing/2014/chart" uri="{C3380CC4-5D6E-409C-BE32-E72D297353CC}">
              <c16:uniqueId val="{00000001-4FC3-478D-B62E-85616329FBC0}"/>
            </c:ext>
          </c:extLst>
        </c:ser>
        <c:dLbls>
          <c:showLegendKey val="0"/>
          <c:showVal val="0"/>
          <c:showCatName val="0"/>
          <c:showSerName val="0"/>
          <c:showPercent val="0"/>
          <c:showBubbleSize val="0"/>
        </c:dLbls>
        <c:axId val="914988416"/>
        <c:axId val="914987336"/>
      </c:areaChart>
      <c:catAx>
        <c:axId val="914988416"/>
        <c:scaling>
          <c:orientation val="minMax"/>
        </c:scaling>
        <c:delete val="1"/>
        <c:axPos val="b"/>
        <c:numFmt formatCode="General" sourceLinked="1"/>
        <c:majorTickMark val="out"/>
        <c:minorTickMark val="none"/>
        <c:tickLblPos val="nextTo"/>
        <c:crossAx val="914987336"/>
        <c:crosses val="autoZero"/>
        <c:auto val="1"/>
        <c:lblAlgn val="ctr"/>
        <c:lblOffset val="100"/>
        <c:noMultiLvlLbl val="0"/>
      </c:catAx>
      <c:valAx>
        <c:axId val="914987336"/>
        <c:scaling>
          <c:orientation val="minMax"/>
        </c:scaling>
        <c:delete val="1"/>
        <c:axPos val="l"/>
        <c:numFmt formatCode="0.00" sourceLinked="1"/>
        <c:majorTickMark val="none"/>
        <c:minorTickMark val="none"/>
        <c:tickLblPos val="nextTo"/>
        <c:crossAx val="91498841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Report!PivotTable4</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Report'!$D$4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Report'!$C$5:$C$36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Report'!$D$5:$D$36</c:f>
              <c:numCache>
                <c:formatCode>General</c:formatCode>
                <c:ptCount val="31"/>
                <c:pt idx="0">
                  <c:v>17</c:v>
                </c:pt>
                <c:pt idx="1">
                  <c:v>19</c:v>
                </c:pt>
                <c:pt idx="2">
                  <c:v>12</c:v>
                </c:pt>
                <c:pt idx="3">
                  <c:v>9</c:v>
                </c:pt>
                <c:pt idx="4">
                  <c:v>15</c:v>
                </c:pt>
                <c:pt idx="5">
                  <c:v>10</c:v>
                </c:pt>
                <c:pt idx="6">
                  <c:v>18</c:v>
                </c:pt>
                <c:pt idx="7">
                  <c:v>19</c:v>
                </c:pt>
                <c:pt idx="8">
                  <c:v>19</c:v>
                </c:pt>
                <c:pt idx="9">
                  <c:v>13</c:v>
                </c:pt>
                <c:pt idx="10">
                  <c:v>15</c:v>
                </c:pt>
                <c:pt idx="11">
                  <c:v>25</c:v>
                </c:pt>
                <c:pt idx="12">
                  <c:v>19</c:v>
                </c:pt>
                <c:pt idx="13">
                  <c:v>15</c:v>
                </c:pt>
                <c:pt idx="14">
                  <c:v>14</c:v>
                </c:pt>
                <c:pt idx="15">
                  <c:v>20</c:v>
                </c:pt>
                <c:pt idx="16">
                  <c:v>14</c:v>
                </c:pt>
                <c:pt idx="17">
                  <c:v>14</c:v>
                </c:pt>
                <c:pt idx="18">
                  <c:v>17</c:v>
                </c:pt>
                <c:pt idx="19">
                  <c:v>16</c:v>
                </c:pt>
                <c:pt idx="20">
                  <c:v>18</c:v>
                </c:pt>
                <c:pt idx="21">
                  <c:v>8</c:v>
                </c:pt>
                <c:pt idx="22">
                  <c:v>17</c:v>
                </c:pt>
                <c:pt idx="23">
                  <c:v>11</c:v>
                </c:pt>
                <c:pt idx="24">
                  <c:v>15</c:v>
                </c:pt>
                <c:pt idx="25">
                  <c:v>13</c:v>
                </c:pt>
                <c:pt idx="26">
                  <c:v>17</c:v>
                </c:pt>
                <c:pt idx="27">
                  <c:v>20</c:v>
                </c:pt>
                <c:pt idx="28">
                  <c:v>20</c:v>
                </c:pt>
                <c:pt idx="29">
                  <c:v>13</c:v>
                </c:pt>
                <c:pt idx="30">
                  <c:v>16</c:v>
                </c:pt>
              </c:numCache>
            </c:numRef>
          </c:val>
          <c:extLst>
            <c:ext xmlns:c16="http://schemas.microsoft.com/office/drawing/2014/chart" uri="{C3380CC4-5D6E-409C-BE32-E72D297353CC}">
              <c16:uniqueId val="{00000003-FFE8-4CB5-8ACF-2BC7632C2F84}"/>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612851272"/>
        <c:axId val="612853432"/>
      </c:areaChart>
      <c:catAx>
        <c:axId val="61285127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12853432"/>
        <c:crosses val="autoZero"/>
        <c:auto val="1"/>
        <c:lblAlgn val="ctr"/>
        <c:lblOffset val="100"/>
        <c:noMultiLvlLbl val="0"/>
      </c:catAx>
      <c:valAx>
        <c:axId val="612853432"/>
        <c:scaling>
          <c:orientation val="minMax"/>
        </c:scaling>
        <c:delete val="1"/>
        <c:axPos val="l"/>
        <c:numFmt formatCode="General" sourceLinked="1"/>
        <c:majorTickMark val="out"/>
        <c:minorTickMark val="none"/>
        <c:tickLblPos val="nextTo"/>
        <c:crossAx val="61285127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Report!PivotTable5</c:name>
    <c:fmtId val="2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466470346607113E-2"/>
          <c:y val="4.7619047619047616E-2"/>
          <c:w val="0.94672417417330545"/>
          <c:h val="0.85195555101066911"/>
        </c:manualLayout>
      </c:layout>
      <c:areaChart>
        <c:grouping val="standard"/>
        <c:varyColors val="0"/>
        <c:ser>
          <c:idx val="0"/>
          <c:order val="0"/>
          <c:tx>
            <c:strRef>
              <c:f>'Pivot Report'!$H$4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Report'!$G$5:$G$36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Report'!$H$5:$H$36</c:f>
              <c:numCache>
                <c:formatCode>0.00</c:formatCode>
                <c:ptCount val="31"/>
                <c:pt idx="0">
                  <c:v>36.941176470588232</c:v>
                </c:pt>
                <c:pt idx="1">
                  <c:v>30.842105263157894</c:v>
                </c:pt>
                <c:pt idx="2">
                  <c:v>31.833333333333332</c:v>
                </c:pt>
                <c:pt idx="3">
                  <c:v>33.777777777777779</c:v>
                </c:pt>
                <c:pt idx="4">
                  <c:v>30.466666666666665</c:v>
                </c:pt>
                <c:pt idx="5">
                  <c:v>38.799999999999997</c:v>
                </c:pt>
                <c:pt idx="6">
                  <c:v>30.277777777777779</c:v>
                </c:pt>
                <c:pt idx="7">
                  <c:v>35.157894736842103</c:v>
                </c:pt>
                <c:pt idx="8">
                  <c:v>37.94736842105263</c:v>
                </c:pt>
                <c:pt idx="9">
                  <c:v>33.92307692307692</c:v>
                </c:pt>
                <c:pt idx="10">
                  <c:v>33.200000000000003</c:v>
                </c:pt>
                <c:pt idx="11">
                  <c:v>40.159999999999997</c:v>
                </c:pt>
                <c:pt idx="12">
                  <c:v>41.578947368421055</c:v>
                </c:pt>
                <c:pt idx="13">
                  <c:v>36.866666666666667</c:v>
                </c:pt>
                <c:pt idx="14">
                  <c:v>33.714285714285715</c:v>
                </c:pt>
                <c:pt idx="15">
                  <c:v>33.700000000000003</c:v>
                </c:pt>
                <c:pt idx="16">
                  <c:v>34.642857142857146</c:v>
                </c:pt>
                <c:pt idx="17">
                  <c:v>36.5</c:v>
                </c:pt>
                <c:pt idx="18">
                  <c:v>33.058823529411768</c:v>
                </c:pt>
                <c:pt idx="19">
                  <c:v>33.5625</c:v>
                </c:pt>
                <c:pt idx="20">
                  <c:v>31.555555555555557</c:v>
                </c:pt>
                <c:pt idx="21">
                  <c:v>38.375</c:v>
                </c:pt>
                <c:pt idx="22">
                  <c:v>35.411764705882355</c:v>
                </c:pt>
                <c:pt idx="23">
                  <c:v>34.909090909090907</c:v>
                </c:pt>
                <c:pt idx="24">
                  <c:v>35.133333333333333</c:v>
                </c:pt>
                <c:pt idx="25">
                  <c:v>35.07692307692308</c:v>
                </c:pt>
                <c:pt idx="26">
                  <c:v>35.352941176470587</c:v>
                </c:pt>
                <c:pt idx="27">
                  <c:v>36.6</c:v>
                </c:pt>
                <c:pt idx="28">
                  <c:v>35.799999999999997</c:v>
                </c:pt>
                <c:pt idx="29">
                  <c:v>30.307692307692307</c:v>
                </c:pt>
                <c:pt idx="30">
                  <c:v>42.75</c:v>
                </c:pt>
              </c:numCache>
            </c:numRef>
          </c:val>
          <c:extLst>
            <c:ext xmlns:c16="http://schemas.microsoft.com/office/drawing/2014/chart" uri="{C3380CC4-5D6E-409C-BE32-E72D297353CC}">
              <c16:uniqueId val="{00000003-8A6B-4E65-A7FE-4663D559AEC1}"/>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613079856"/>
        <c:axId val="613081296"/>
      </c:areaChart>
      <c:catAx>
        <c:axId val="61307985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13081296"/>
        <c:crosses val="autoZero"/>
        <c:auto val="1"/>
        <c:lblAlgn val="ctr"/>
        <c:lblOffset val="100"/>
        <c:noMultiLvlLbl val="0"/>
      </c:catAx>
      <c:valAx>
        <c:axId val="613081296"/>
        <c:scaling>
          <c:orientation val="minMax"/>
        </c:scaling>
        <c:delete val="1"/>
        <c:axPos val="l"/>
        <c:numFmt formatCode="0.00" sourceLinked="1"/>
        <c:majorTickMark val="out"/>
        <c:minorTickMark val="none"/>
        <c:tickLblPos val="nextTo"/>
        <c:crossAx val="61307985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Report!PivotTable6</c:name>
    <c:fmtId val="3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Report'!$K$4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Report'!$J$5:$J$36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Report'!$K$5:$K$36</c:f>
              <c:numCache>
                <c:formatCode>0.00</c:formatCode>
                <c:ptCount val="31"/>
                <c:pt idx="0">
                  <c:v>33</c:v>
                </c:pt>
                <c:pt idx="1">
                  <c:v>16</c:v>
                </c:pt>
                <c:pt idx="2">
                  <c:v>19</c:v>
                </c:pt>
                <c:pt idx="3">
                  <c:v>8</c:v>
                </c:pt>
                <c:pt idx="4">
                  <c:v>32</c:v>
                </c:pt>
                <c:pt idx="5">
                  <c:v>7</c:v>
                </c:pt>
                <c:pt idx="6">
                  <c:v>14</c:v>
                </c:pt>
                <c:pt idx="7">
                  <c:v>28</c:v>
                </c:pt>
                <c:pt idx="8">
                  <c:v>32</c:v>
                </c:pt>
                <c:pt idx="9">
                  <c:v>14</c:v>
                </c:pt>
                <c:pt idx="10">
                  <c:v>39</c:v>
                </c:pt>
                <c:pt idx="11">
                  <c:v>37</c:v>
                </c:pt>
                <c:pt idx="12">
                  <c:v>13</c:v>
                </c:pt>
                <c:pt idx="13">
                  <c:v>15</c:v>
                </c:pt>
                <c:pt idx="14">
                  <c:v>13</c:v>
                </c:pt>
                <c:pt idx="15">
                  <c:v>10</c:v>
                </c:pt>
                <c:pt idx="16">
                  <c:v>18</c:v>
                </c:pt>
                <c:pt idx="17">
                  <c:v>15</c:v>
                </c:pt>
                <c:pt idx="18">
                  <c:v>25</c:v>
                </c:pt>
                <c:pt idx="19">
                  <c:v>30</c:v>
                </c:pt>
                <c:pt idx="20">
                  <c:v>14</c:v>
                </c:pt>
                <c:pt idx="21">
                  <c:v>15</c:v>
                </c:pt>
                <c:pt idx="22">
                  <c:v>13</c:v>
                </c:pt>
                <c:pt idx="23">
                  <c:v>14</c:v>
                </c:pt>
                <c:pt idx="24">
                  <c:v>18</c:v>
                </c:pt>
                <c:pt idx="25">
                  <c:v>6</c:v>
                </c:pt>
                <c:pt idx="26">
                  <c:v>62</c:v>
                </c:pt>
                <c:pt idx="27">
                  <c:v>46</c:v>
                </c:pt>
                <c:pt idx="28">
                  <c:v>41</c:v>
                </c:pt>
                <c:pt idx="29">
                  <c:v>25</c:v>
                </c:pt>
                <c:pt idx="30">
                  <c:v>27</c:v>
                </c:pt>
              </c:numCache>
            </c:numRef>
          </c:val>
          <c:extLst>
            <c:ext xmlns:c16="http://schemas.microsoft.com/office/drawing/2014/chart" uri="{C3380CC4-5D6E-409C-BE32-E72D297353CC}">
              <c16:uniqueId val="{00000004-E477-4BBF-83F2-BCC2472647BC}"/>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807864464"/>
        <c:axId val="807862664"/>
      </c:areaChart>
      <c:catAx>
        <c:axId val="80786446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07862664"/>
        <c:crosses val="autoZero"/>
        <c:auto val="1"/>
        <c:lblAlgn val="ctr"/>
        <c:lblOffset val="100"/>
        <c:noMultiLvlLbl val="0"/>
      </c:catAx>
      <c:valAx>
        <c:axId val="807862664"/>
        <c:scaling>
          <c:orientation val="minMax"/>
        </c:scaling>
        <c:delete val="1"/>
        <c:axPos val="l"/>
        <c:numFmt formatCode="0.00" sourceLinked="1"/>
        <c:majorTickMark val="out"/>
        <c:minorTickMark val="none"/>
        <c:tickLblPos val="nextTo"/>
        <c:crossAx val="80786446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4">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prstDash val="sysDot"/>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spPr>
      <a:ln w="9525">
        <a:solidFill>
          <a:schemeClr val="tx1">
            <a:lumMod val="15000"/>
            <a:lumOff val="85000"/>
          </a:schemeClr>
        </a:solid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80">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0">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0">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13" Type="http://schemas.openxmlformats.org/officeDocument/2006/relationships/chart" Target="../charts/chart8.xml"/><Relationship Id="rId18" Type="http://schemas.openxmlformats.org/officeDocument/2006/relationships/image" Target="../media/image8.png"/><Relationship Id="rId3" Type="http://schemas.openxmlformats.org/officeDocument/2006/relationships/chart" Target="../charts/chart3.xml"/><Relationship Id="rId7" Type="http://schemas.openxmlformats.org/officeDocument/2006/relationships/image" Target="../media/image3.emf"/><Relationship Id="rId12" Type="http://schemas.openxmlformats.org/officeDocument/2006/relationships/hyperlink" Target="#'Satisfaction Score'!A1"/><Relationship Id="rId17" Type="http://schemas.openxmlformats.org/officeDocument/2006/relationships/image" Target="../media/image7.svg"/><Relationship Id="rId2" Type="http://schemas.openxmlformats.org/officeDocument/2006/relationships/chart" Target="../charts/chart2.xml"/><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hyperlink" Target="#'Daily Visits'!A1"/><Relationship Id="rId11" Type="http://schemas.openxmlformats.org/officeDocument/2006/relationships/chart" Target="../charts/chart7.xml"/><Relationship Id="rId5" Type="http://schemas.openxmlformats.org/officeDocument/2006/relationships/chart" Target="../charts/chart4.xml"/><Relationship Id="rId15" Type="http://schemas.openxmlformats.org/officeDocument/2006/relationships/image" Target="../media/image5.svg"/><Relationship Id="rId10" Type="http://schemas.openxmlformats.org/officeDocument/2006/relationships/hyperlink" Target="#'Average Wait Time'!A1"/><Relationship Id="rId19" Type="http://schemas.openxmlformats.org/officeDocument/2006/relationships/image" Target="../media/image9.svg"/><Relationship Id="rId4" Type="http://schemas.openxmlformats.org/officeDocument/2006/relationships/image" Target="../media/image2.png"/><Relationship Id="rId9" Type="http://schemas.openxmlformats.org/officeDocument/2006/relationships/chart" Target="../charts/chart6.xml"/><Relationship Id="rId14"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1.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image" Target="../media/image13.svg"/><Relationship Id="rId2" Type="http://schemas.openxmlformats.org/officeDocument/2006/relationships/image" Target="../media/image11.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3" Type="http://schemas.openxmlformats.org/officeDocument/2006/relationships/image" Target="../media/image13.svg"/><Relationship Id="rId2" Type="http://schemas.openxmlformats.org/officeDocument/2006/relationships/image" Target="../media/image11.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8</xdr:col>
      <xdr:colOff>1150620</xdr:colOff>
      <xdr:row>38</xdr:row>
      <xdr:rowOff>160020</xdr:rowOff>
    </xdr:from>
    <xdr:to>
      <xdr:col>10</xdr:col>
      <xdr:colOff>45720</xdr:colOff>
      <xdr:row>41</xdr:row>
      <xdr:rowOff>22860</xdr:rowOff>
    </xdr:to>
    <xdr:graphicFrame macro="">
      <xdr:nvGraphicFramePr>
        <xdr:cNvPr id="3" name="Chart 2">
          <a:extLst>
            <a:ext uri="{FF2B5EF4-FFF2-40B4-BE49-F238E27FC236}">
              <a16:creationId xmlns:a16="http://schemas.microsoft.com/office/drawing/2014/main" id="{BC794597-8591-E7FE-E26C-A598FC4D26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16</xdr:col>
      <xdr:colOff>111124</xdr:colOff>
      <xdr:row>0</xdr:row>
      <xdr:rowOff>95249</xdr:rowOff>
    </xdr:from>
    <xdr:to>
      <xdr:col>19</xdr:col>
      <xdr:colOff>400049</xdr:colOff>
      <xdr:row>12</xdr:row>
      <xdr:rowOff>180974</xdr:rowOff>
    </xdr:to>
    <xdr:sp macro="" textlink="">
      <xdr:nvSpPr>
        <xdr:cNvPr id="25" name="Rectangle: Rounded Corners 24">
          <a:extLst>
            <a:ext uri="{FF2B5EF4-FFF2-40B4-BE49-F238E27FC236}">
              <a16:creationId xmlns:a16="http://schemas.microsoft.com/office/drawing/2014/main" id="{BE6A3ECA-0028-C89E-8650-30C861588E87}"/>
            </a:ext>
          </a:extLst>
        </xdr:cNvPr>
        <xdr:cNvSpPr/>
      </xdr:nvSpPr>
      <xdr:spPr>
        <a:xfrm>
          <a:off x="9864724" y="95249"/>
          <a:ext cx="2117725" cy="2257425"/>
        </a:xfrm>
        <a:prstGeom prst="roundRect">
          <a:avLst/>
        </a:prstGeom>
        <a:solidFill>
          <a:schemeClr val="bg1">
            <a:lumMod val="95000"/>
          </a:schemeClr>
        </a:solidFill>
        <a:ln>
          <a:noFill/>
        </a:ln>
        <a:effectLst>
          <a:outerShdw blurRad="317500" dist="50800" dir="2400000" algn="ctr" rotWithShape="0">
            <a:schemeClr val="tx1">
              <a:lumMod val="95000"/>
              <a:lumOff val="5000"/>
              <a:alpha val="65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330199</xdr:colOff>
      <xdr:row>0</xdr:row>
      <xdr:rowOff>95249</xdr:rowOff>
    </xdr:from>
    <xdr:to>
      <xdr:col>16</xdr:col>
      <xdr:colOff>9524</xdr:colOff>
      <xdr:row>12</xdr:row>
      <xdr:rowOff>180974</xdr:rowOff>
    </xdr:to>
    <xdr:sp macro="" textlink="">
      <xdr:nvSpPr>
        <xdr:cNvPr id="16" name="Rectangle: Rounded Corners 15">
          <a:extLst>
            <a:ext uri="{FF2B5EF4-FFF2-40B4-BE49-F238E27FC236}">
              <a16:creationId xmlns:a16="http://schemas.microsoft.com/office/drawing/2014/main" id="{3EBE8AA8-579A-67C8-3AF5-42DB2BF4243F}"/>
            </a:ext>
          </a:extLst>
        </xdr:cNvPr>
        <xdr:cNvSpPr/>
      </xdr:nvSpPr>
      <xdr:spPr>
        <a:xfrm>
          <a:off x="7645399" y="95249"/>
          <a:ext cx="2117725" cy="2257425"/>
        </a:xfrm>
        <a:prstGeom prst="roundRect">
          <a:avLst/>
        </a:prstGeom>
        <a:solidFill>
          <a:schemeClr val="bg1">
            <a:lumMod val="95000"/>
          </a:schemeClr>
        </a:solidFill>
        <a:ln>
          <a:noFill/>
        </a:ln>
        <a:effectLst>
          <a:outerShdw blurRad="317500" dist="50800" dir="2400000" algn="ctr" rotWithShape="0">
            <a:schemeClr val="tx1">
              <a:lumMod val="95000"/>
              <a:lumOff val="5000"/>
              <a:alpha val="65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85723</xdr:colOff>
      <xdr:row>0</xdr:row>
      <xdr:rowOff>98424</xdr:rowOff>
    </xdr:from>
    <xdr:to>
      <xdr:col>8</xdr:col>
      <xdr:colOff>257174</xdr:colOff>
      <xdr:row>5</xdr:row>
      <xdr:rowOff>114300</xdr:rowOff>
    </xdr:to>
    <xdr:sp macro="" textlink="">
      <xdr:nvSpPr>
        <xdr:cNvPr id="2" name="Rectangle: Rounded Corners 1">
          <a:extLst>
            <a:ext uri="{FF2B5EF4-FFF2-40B4-BE49-F238E27FC236}">
              <a16:creationId xmlns:a16="http://schemas.microsoft.com/office/drawing/2014/main" id="{81F83562-680A-C7BD-AB73-BB66C6F7B8C2}"/>
            </a:ext>
          </a:extLst>
        </xdr:cNvPr>
        <xdr:cNvSpPr/>
      </xdr:nvSpPr>
      <xdr:spPr>
        <a:xfrm>
          <a:off x="85723" y="98424"/>
          <a:ext cx="5048251" cy="920751"/>
        </a:xfrm>
        <a:prstGeom prst="roundRect">
          <a:avLst/>
        </a:prstGeom>
        <a:solidFill>
          <a:schemeClr val="bg1">
            <a:lumMod val="95000"/>
          </a:schemeClr>
        </a:solidFill>
        <a:ln>
          <a:noFill/>
        </a:ln>
        <a:effectLst>
          <a:outerShdw blurRad="317500" dist="50800" dir="2400000" algn="tl" rotWithShape="0">
            <a:schemeClr val="tx1">
              <a:lumMod val="95000"/>
              <a:lumOff val="5000"/>
              <a:alpha val="65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0</xdr:row>
      <xdr:rowOff>69850</xdr:rowOff>
    </xdr:from>
    <xdr:to>
      <xdr:col>2</xdr:col>
      <xdr:colOff>430362</xdr:colOff>
      <xdr:row>5</xdr:row>
      <xdr:rowOff>66675</xdr:rowOff>
    </xdr:to>
    <xdr:pic>
      <xdr:nvPicPr>
        <xdr:cNvPr id="4" name="Picture 3">
          <a:extLst>
            <a:ext uri="{FF2B5EF4-FFF2-40B4-BE49-F238E27FC236}">
              <a16:creationId xmlns:a16="http://schemas.microsoft.com/office/drawing/2014/main" id="{6822F32A-9366-B4F9-C28F-1D6BCB555B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69850"/>
          <a:ext cx="1649562" cy="901700"/>
        </a:xfrm>
        <a:prstGeom prst="rect">
          <a:avLst/>
        </a:prstGeom>
        <a:effectLst>
          <a:outerShdw blurRad="50800" dist="38100" dir="5400000" algn="t" rotWithShape="0">
            <a:prstClr val="black">
              <a:alpha val="40000"/>
            </a:prstClr>
          </a:outerShdw>
        </a:effectLst>
      </xdr:spPr>
    </xdr:pic>
    <xdr:clientData/>
  </xdr:twoCellAnchor>
  <xdr:twoCellAnchor>
    <xdr:from>
      <xdr:col>2</xdr:col>
      <xdr:colOff>3175</xdr:colOff>
      <xdr:row>0</xdr:row>
      <xdr:rowOff>136524</xdr:rowOff>
    </xdr:from>
    <xdr:to>
      <xdr:col>8</xdr:col>
      <xdr:colOff>66675</xdr:colOff>
      <xdr:row>4</xdr:row>
      <xdr:rowOff>19049</xdr:rowOff>
    </xdr:to>
    <xdr:sp macro="" textlink="">
      <xdr:nvSpPr>
        <xdr:cNvPr id="5" name="TextBox 4">
          <a:extLst>
            <a:ext uri="{FF2B5EF4-FFF2-40B4-BE49-F238E27FC236}">
              <a16:creationId xmlns:a16="http://schemas.microsoft.com/office/drawing/2014/main" id="{9EE54910-D57B-A699-DB14-B88E1E45DF54}"/>
            </a:ext>
          </a:extLst>
        </xdr:cNvPr>
        <xdr:cNvSpPr txBox="1"/>
      </xdr:nvSpPr>
      <xdr:spPr>
        <a:xfrm>
          <a:off x="1222375" y="136524"/>
          <a:ext cx="3721100" cy="606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solidFill>
                <a:schemeClr val="dk1"/>
              </a:solidFill>
              <a:effectLst/>
              <a:latin typeface="+mn-lt"/>
              <a:ea typeface="+mn-ea"/>
              <a:cs typeface="+mn-cs"/>
            </a:rPr>
            <a:t>Hospital</a:t>
          </a:r>
          <a:r>
            <a:rPr lang="en-US" sz="1600" b="1" baseline="0">
              <a:solidFill>
                <a:schemeClr val="dk1"/>
              </a:solidFill>
              <a:effectLst/>
              <a:latin typeface="+mn-lt"/>
              <a:ea typeface="+mn-ea"/>
              <a:cs typeface="+mn-cs"/>
            </a:rPr>
            <a:t> Emergency Room Dashboard</a:t>
          </a:r>
          <a:endParaRPr lang="en-US" sz="1600" b="1">
            <a:effectLst/>
          </a:endParaRPr>
        </a:p>
        <a:p>
          <a:pPr algn="ctr"/>
          <a:endParaRPr lang="en-US" sz="1100"/>
        </a:p>
      </xdr:txBody>
    </xdr:sp>
    <xdr:clientData/>
  </xdr:twoCellAnchor>
  <xdr:twoCellAnchor>
    <xdr:from>
      <xdr:col>3</xdr:col>
      <xdr:colOff>488949</xdr:colOff>
      <xdr:row>2</xdr:row>
      <xdr:rowOff>57149</xdr:rowOff>
    </xdr:from>
    <xdr:to>
      <xdr:col>6</xdr:col>
      <xdr:colOff>409574</xdr:colOff>
      <xdr:row>4</xdr:row>
      <xdr:rowOff>66674</xdr:rowOff>
    </xdr:to>
    <xdr:sp macro="" textlink="">
      <xdr:nvSpPr>
        <xdr:cNvPr id="6" name="TextBox 5">
          <a:extLst>
            <a:ext uri="{FF2B5EF4-FFF2-40B4-BE49-F238E27FC236}">
              <a16:creationId xmlns:a16="http://schemas.microsoft.com/office/drawing/2014/main" id="{13D658C3-6276-8168-6C33-42B124592BC7}"/>
            </a:ext>
          </a:extLst>
        </xdr:cNvPr>
        <xdr:cNvSpPr txBox="1"/>
      </xdr:nvSpPr>
      <xdr:spPr>
        <a:xfrm>
          <a:off x="2317749" y="419099"/>
          <a:ext cx="17494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a:solidFill>
                <a:schemeClr val="dk1"/>
              </a:solidFill>
              <a:effectLst/>
              <a:latin typeface="+mn-lt"/>
              <a:ea typeface="+mn-ea"/>
              <a:cs typeface="+mn-cs"/>
            </a:rPr>
            <a:t>Reporting</a:t>
          </a:r>
          <a:r>
            <a:rPr lang="en-US" sz="1400" baseline="0">
              <a:solidFill>
                <a:schemeClr val="dk1"/>
              </a:solidFill>
              <a:effectLst/>
              <a:latin typeface="+mn-lt"/>
              <a:ea typeface="+mn-ea"/>
              <a:cs typeface="+mn-cs"/>
            </a:rPr>
            <a:t> Period </a:t>
          </a:r>
          <a:endParaRPr lang="en-US" sz="1400">
            <a:effectLst/>
          </a:endParaRPr>
        </a:p>
        <a:p>
          <a:pPr algn="ctr"/>
          <a:endParaRPr lang="en-US" sz="1100"/>
        </a:p>
      </xdr:txBody>
    </xdr:sp>
    <xdr:clientData/>
  </xdr:twoCellAnchor>
  <xdr:twoCellAnchor>
    <xdr:from>
      <xdr:col>8</xdr:col>
      <xdr:colOff>381001</xdr:colOff>
      <xdr:row>0</xdr:row>
      <xdr:rowOff>130174</xdr:rowOff>
    </xdr:from>
    <xdr:to>
      <xdr:col>12</xdr:col>
      <xdr:colOff>228601</xdr:colOff>
      <xdr:row>5</xdr:row>
      <xdr:rowOff>104775</xdr:rowOff>
    </xdr:to>
    <xdr:sp macro="" textlink="">
      <xdr:nvSpPr>
        <xdr:cNvPr id="7" name="Rectangle: Rounded Corners 6">
          <a:extLst>
            <a:ext uri="{FF2B5EF4-FFF2-40B4-BE49-F238E27FC236}">
              <a16:creationId xmlns:a16="http://schemas.microsoft.com/office/drawing/2014/main" id="{E5D680A6-03DF-6480-5C27-A5978ECEBDA9}"/>
            </a:ext>
          </a:extLst>
        </xdr:cNvPr>
        <xdr:cNvSpPr/>
      </xdr:nvSpPr>
      <xdr:spPr>
        <a:xfrm>
          <a:off x="5257801" y="130174"/>
          <a:ext cx="2286000" cy="879476"/>
        </a:xfrm>
        <a:prstGeom prst="roundRect">
          <a:avLst/>
        </a:prstGeom>
        <a:solidFill>
          <a:schemeClr val="bg1">
            <a:lumMod val="95000"/>
          </a:schemeClr>
        </a:solidFill>
        <a:ln>
          <a:noFill/>
        </a:ln>
        <a:effectLst>
          <a:outerShdw blurRad="317500" dist="50800" dir="2400000" algn="tl" rotWithShape="0">
            <a:schemeClr val="tx1">
              <a:lumMod val="95000"/>
              <a:lumOff val="5000"/>
              <a:alpha val="65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311150</xdr:colOff>
      <xdr:row>0</xdr:row>
      <xdr:rowOff>63500</xdr:rowOff>
    </xdr:from>
    <xdr:to>
      <xdr:col>8</xdr:col>
      <xdr:colOff>361950</xdr:colOff>
      <xdr:row>1</xdr:row>
      <xdr:rowOff>127000</xdr:rowOff>
    </xdr:to>
    <xdr:sp macro="" textlink="">
      <xdr:nvSpPr>
        <xdr:cNvPr id="13" name="TextBox 12">
          <a:extLst>
            <a:ext uri="{FF2B5EF4-FFF2-40B4-BE49-F238E27FC236}">
              <a16:creationId xmlns:a16="http://schemas.microsoft.com/office/drawing/2014/main" id="{E391C81D-5D69-FFD4-AAAD-5681497F08F7}"/>
            </a:ext>
          </a:extLst>
        </xdr:cNvPr>
        <xdr:cNvSpPr txBox="1"/>
      </xdr:nvSpPr>
      <xdr:spPr>
        <a:xfrm>
          <a:off x="3968750" y="63500"/>
          <a:ext cx="12700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100"/>
        </a:p>
      </xdr:txBody>
    </xdr:sp>
    <xdr:clientData/>
  </xdr:twoCellAnchor>
  <xdr:twoCellAnchor>
    <xdr:from>
      <xdr:col>0</xdr:col>
      <xdr:colOff>85725</xdr:colOff>
      <xdr:row>6</xdr:row>
      <xdr:rowOff>73024</xdr:rowOff>
    </xdr:from>
    <xdr:to>
      <xdr:col>2</xdr:col>
      <xdr:colOff>180975</xdr:colOff>
      <xdr:row>35</xdr:row>
      <xdr:rowOff>104775</xdr:rowOff>
    </xdr:to>
    <xdr:sp macro="" textlink="">
      <xdr:nvSpPr>
        <xdr:cNvPr id="9" name="Rectangle: Rounded Corners 8">
          <a:extLst>
            <a:ext uri="{FF2B5EF4-FFF2-40B4-BE49-F238E27FC236}">
              <a16:creationId xmlns:a16="http://schemas.microsoft.com/office/drawing/2014/main" id="{741F105C-A11E-319E-6571-23E8706D2005}"/>
            </a:ext>
          </a:extLst>
        </xdr:cNvPr>
        <xdr:cNvSpPr/>
      </xdr:nvSpPr>
      <xdr:spPr>
        <a:xfrm>
          <a:off x="85725" y="1158874"/>
          <a:ext cx="1314450" cy="5280026"/>
        </a:xfrm>
        <a:prstGeom prst="roundRect">
          <a:avLst/>
        </a:prstGeom>
        <a:solidFill>
          <a:schemeClr val="bg1"/>
        </a:solidFill>
        <a:ln>
          <a:noFill/>
        </a:ln>
        <a:effectLst>
          <a:outerShdw blurRad="317500" dist="50800" dir="2400000" algn="ctr" rotWithShape="0">
            <a:schemeClr val="tx1">
              <a:lumMod val="95000"/>
              <a:lumOff val="5000"/>
              <a:alpha val="65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149225</xdr:colOff>
      <xdr:row>6</xdr:row>
      <xdr:rowOff>161925</xdr:rowOff>
    </xdr:from>
    <xdr:to>
      <xdr:col>2</xdr:col>
      <xdr:colOff>76200</xdr:colOff>
      <xdr:row>34</xdr:row>
      <xdr:rowOff>180974</xdr:rowOff>
    </xdr:to>
    <mc:AlternateContent xmlns:mc="http://schemas.openxmlformats.org/markup-compatibility/2006" xmlns:a14="http://schemas.microsoft.com/office/drawing/2010/main">
      <mc:Choice Requires="a14">
        <xdr:graphicFrame macro="">
          <xdr:nvGraphicFramePr>
            <xdr:cNvPr id="10" name="Date (Month) 1">
              <a:extLst>
                <a:ext uri="{FF2B5EF4-FFF2-40B4-BE49-F238E27FC236}">
                  <a16:creationId xmlns:a16="http://schemas.microsoft.com/office/drawing/2014/main" id="{55C26305-D589-4162-B6B0-2B0C3E28E592}"/>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149225" y="1259205"/>
              <a:ext cx="1146175" cy="51396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285749</xdr:colOff>
      <xdr:row>6</xdr:row>
      <xdr:rowOff>73025</xdr:rowOff>
    </xdr:from>
    <xdr:to>
      <xdr:col>5</xdr:col>
      <xdr:colOff>400050</xdr:colOff>
      <xdr:row>15</xdr:row>
      <xdr:rowOff>104776</xdr:rowOff>
    </xdr:to>
    <xdr:sp macro="" textlink="">
      <xdr:nvSpPr>
        <xdr:cNvPr id="12" name="Rectangle: Rounded Corners 11">
          <a:extLst>
            <a:ext uri="{FF2B5EF4-FFF2-40B4-BE49-F238E27FC236}">
              <a16:creationId xmlns:a16="http://schemas.microsoft.com/office/drawing/2014/main" id="{914E4C1D-0CDF-BECE-AD59-C5BD5EC7F96C}"/>
            </a:ext>
          </a:extLst>
        </xdr:cNvPr>
        <xdr:cNvSpPr/>
      </xdr:nvSpPr>
      <xdr:spPr>
        <a:xfrm>
          <a:off x="1504949" y="1158875"/>
          <a:ext cx="1943101" cy="1660526"/>
        </a:xfrm>
        <a:prstGeom prst="roundRect">
          <a:avLst>
            <a:gd name="adj" fmla="val 0"/>
          </a:avLst>
        </a:prstGeom>
        <a:solidFill>
          <a:schemeClr val="bg1">
            <a:lumMod val="95000"/>
          </a:schemeClr>
        </a:solidFill>
        <a:ln>
          <a:noFill/>
        </a:ln>
        <a:effectLst>
          <a:outerShdw blurRad="317500" dist="50800" dir="2400000" algn="ctr" rotWithShape="0">
            <a:schemeClr val="tx1">
              <a:lumMod val="95000"/>
              <a:lumOff val="5000"/>
              <a:alpha val="65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161923</xdr:colOff>
      <xdr:row>7</xdr:row>
      <xdr:rowOff>149224</xdr:rowOff>
    </xdr:from>
    <xdr:to>
      <xdr:col>4</xdr:col>
      <xdr:colOff>295274</xdr:colOff>
      <xdr:row>9</xdr:row>
      <xdr:rowOff>114299</xdr:rowOff>
    </xdr:to>
    <xdr:sp macro="" textlink="'Pivot Report'!A5">
      <xdr:nvSpPr>
        <xdr:cNvPr id="18" name="TextBox 17">
          <a:extLst>
            <a:ext uri="{FF2B5EF4-FFF2-40B4-BE49-F238E27FC236}">
              <a16:creationId xmlns:a16="http://schemas.microsoft.com/office/drawing/2014/main" id="{6F352DF5-0A00-456F-9CA8-2CB8432C0275}"/>
            </a:ext>
          </a:extLst>
        </xdr:cNvPr>
        <xdr:cNvSpPr txBox="1"/>
      </xdr:nvSpPr>
      <xdr:spPr>
        <a:xfrm>
          <a:off x="1990723" y="1416049"/>
          <a:ext cx="742951" cy="327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A5A1AD-7191-4328-AF90-9F77579B86DF}" type="TxLink">
            <a:rPr lang="en-US" sz="2400" b="0" i="0" u="none" strike="noStrike">
              <a:solidFill>
                <a:srgbClr val="000000"/>
              </a:solidFill>
              <a:latin typeface="Calibri"/>
              <a:ea typeface="Calibri"/>
              <a:cs typeface="Calibri"/>
            </a:rPr>
            <a:pPr algn="ctr"/>
            <a:t>488</a:t>
          </a:fld>
          <a:endParaRPr lang="en-US" sz="1600"/>
        </a:p>
      </xdr:txBody>
    </xdr:sp>
    <xdr:clientData/>
  </xdr:twoCellAnchor>
  <xdr:twoCellAnchor>
    <xdr:from>
      <xdr:col>9</xdr:col>
      <xdr:colOff>104774</xdr:colOff>
      <xdr:row>6</xdr:row>
      <xdr:rowOff>63500</xdr:rowOff>
    </xdr:from>
    <xdr:to>
      <xdr:col>12</xdr:col>
      <xdr:colOff>219075</xdr:colOff>
      <xdr:row>15</xdr:row>
      <xdr:rowOff>95251</xdr:rowOff>
    </xdr:to>
    <xdr:sp macro="" textlink="">
      <xdr:nvSpPr>
        <xdr:cNvPr id="19" name="Rectangle: Rounded Corners 18">
          <a:extLst>
            <a:ext uri="{FF2B5EF4-FFF2-40B4-BE49-F238E27FC236}">
              <a16:creationId xmlns:a16="http://schemas.microsoft.com/office/drawing/2014/main" id="{DE9B6F57-30F8-E04D-E9CB-EA3554B14AB0}"/>
            </a:ext>
          </a:extLst>
        </xdr:cNvPr>
        <xdr:cNvSpPr/>
      </xdr:nvSpPr>
      <xdr:spPr>
        <a:xfrm>
          <a:off x="5591174" y="1149350"/>
          <a:ext cx="1943101" cy="1660526"/>
        </a:xfrm>
        <a:prstGeom prst="roundRect">
          <a:avLst>
            <a:gd name="adj" fmla="val 0"/>
          </a:avLst>
        </a:prstGeom>
        <a:solidFill>
          <a:schemeClr val="bg1">
            <a:lumMod val="95000"/>
          </a:schemeClr>
        </a:solidFill>
        <a:ln>
          <a:noFill/>
        </a:ln>
        <a:effectLst>
          <a:outerShdw blurRad="317500" dist="50800" dir="2400000" algn="ctr" rotWithShape="0">
            <a:schemeClr val="tx1">
              <a:lumMod val="95000"/>
              <a:lumOff val="5000"/>
              <a:alpha val="65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495299</xdr:colOff>
      <xdr:row>6</xdr:row>
      <xdr:rowOff>63500</xdr:rowOff>
    </xdr:from>
    <xdr:to>
      <xdr:col>9</xdr:col>
      <xdr:colOff>0</xdr:colOff>
      <xdr:row>15</xdr:row>
      <xdr:rowOff>95251</xdr:rowOff>
    </xdr:to>
    <xdr:sp macro="" textlink="">
      <xdr:nvSpPr>
        <xdr:cNvPr id="20" name="Rectangle: Rounded Corners 19">
          <a:extLst>
            <a:ext uri="{FF2B5EF4-FFF2-40B4-BE49-F238E27FC236}">
              <a16:creationId xmlns:a16="http://schemas.microsoft.com/office/drawing/2014/main" id="{9DAB265B-8E5A-D606-0EF3-C37A1C825ADC}"/>
            </a:ext>
          </a:extLst>
        </xdr:cNvPr>
        <xdr:cNvSpPr/>
      </xdr:nvSpPr>
      <xdr:spPr>
        <a:xfrm>
          <a:off x="3543299" y="1149350"/>
          <a:ext cx="1943101" cy="1660526"/>
        </a:xfrm>
        <a:prstGeom prst="roundRect">
          <a:avLst>
            <a:gd name="adj" fmla="val 0"/>
          </a:avLst>
        </a:prstGeom>
        <a:solidFill>
          <a:schemeClr val="bg1">
            <a:lumMod val="95000"/>
          </a:schemeClr>
        </a:solidFill>
        <a:ln>
          <a:noFill/>
        </a:ln>
        <a:effectLst>
          <a:outerShdw blurRad="317500" dist="50800" dir="2400000" algn="ctr" rotWithShape="0">
            <a:schemeClr val="tx1">
              <a:lumMod val="95000"/>
              <a:lumOff val="5000"/>
              <a:alpha val="65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371475</xdr:colOff>
      <xdr:row>1</xdr:row>
      <xdr:rowOff>66674</xdr:rowOff>
    </xdr:from>
    <xdr:to>
      <xdr:col>15</xdr:col>
      <xdr:colOff>581025</xdr:colOff>
      <xdr:row>11</xdr:row>
      <xdr:rowOff>161925</xdr:rowOff>
    </xdr:to>
    <xdr:graphicFrame macro="">
      <xdr:nvGraphicFramePr>
        <xdr:cNvPr id="21" name="Chart 20">
          <a:extLst>
            <a:ext uri="{FF2B5EF4-FFF2-40B4-BE49-F238E27FC236}">
              <a16:creationId xmlns:a16="http://schemas.microsoft.com/office/drawing/2014/main" id="{4318B2B0-352F-4596-90A8-0C2B70BCF5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171450</xdr:colOff>
      <xdr:row>1</xdr:row>
      <xdr:rowOff>66674</xdr:rowOff>
    </xdr:from>
    <xdr:to>
      <xdr:col>19</xdr:col>
      <xdr:colOff>314325</xdr:colOff>
      <xdr:row>12</xdr:row>
      <xdr:rowOff>0</xdr:rowOff>
    </xdr:to>
    <xdr:graphicFrame macro="">
      <xdr:nvGraphicFramePr>
        <xdr:cNvPr id="22" name="Chart 21">
          <a:extLst>
            <a:ext uri="{FF2B5EF4-FFF2-40B4-BE49-F238E27FC236}">
              <a16:creationId xmlns:a16="http://schemas.microsoft.com/office/drawing/2014/main" id="{FF024952-F453-401A-BC8C-CAFA02690E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38099</xdr:colOff>
      <xdr:row>2</xdr:row>
      <xdr:rowOff>133350</xdr:rowOff>
    </xdr:from>
    <xdr:to>
      <xdr:col>12</xdr:col>
      <xdr:colOff>0</xdr:colOff>
      <xdr:row>5</xdr:row>
      <xdr:rowOff>47625</xdr:rowOff>
    </xdr:to>
    <mc:AlternateContent xmlns:mc="http://schemas.openxmlformats.org/markup-compatibility/2006" xmlns:a14="http://schemas.microsoft.com/office/drawing/2010/main">
      <mc:Choice Requires="a14">
        <xdr:graphicFrame macro="">
          <xdr:nvGraphicFramePr>
            <xdr:cNvPr id="23" name="Date (Year)">
              <a:extLst>
                <a:ext uri="{FF2B5EF4-FFF2-40B4-BE49-F238E27FC236}">
                  <a16:creationId xmlns:a16="http://schemas.microsoft.com/office/drawing/2014/main" id="{6B8FD122-83F9-4776-A57D-564111621F61}"/>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5524499" y="499110"/>
              <a:ext cx="1790701" cy="4629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323850</xdr:colOff>
      <xdr:row>0</xdr:row>
      <xdr:rowOff>92075</xdr:rowOff>
    </xdr:from>
    <xdr:to>
      <xdr:col>11</xdr:col>
      <xdr:colOff>304800</xdr:colOff>
      <xdr:row>2</xdr:row>
      <xdr:rowOff>156265</xdr:rowOff>
    </xdr:to>
    <xdr:pic>
      <xdr:nvPicPr>
        <xdr:cNvPr id="24" name="Picture 23">
          <a:extLst>
            <a:ext uri="{FF2B5EF4-FFF2-40B4-BE49-F238E27FC236}">
              <a16:creationId xmlns:a16="http://schemas.microsoft.com/office/drawing/2014/main" id="{C2BDF8CC-6013-0561-BE1D-731F8FC18B4A}"/>
            </a:ext>
          </a:extLst>
        </xdr:cNvPr>
        <xdr:cNvPicPr>
          <a:picLocks noChangeAspect="1"/>
        </xdr:cNvPicPr>
      </xdr:nvPicPr>
      <xdr:blipFill>
        <a:blip xmlns:r="http://schemas.openxmlformats.org/officeDocument/2006/relationships" r:embed="rId4"/>
        <a:stretch>
          <a:fillRect/>
        </a:stretch>
      </xdr:blipFill>
      <xdr:spPr>
        <a:xfrm>
          <a:off x="5810250" y="92075"/>
          <a:ext cx="1200150" cy="426140"/>
        </a:xfrm>
        <a:prstGeom prst="rect">
          <a:avLst/>
        </a:prstGeom>
      </xdr:spPr>
    </xdr:pic>
    <xdr:clientData/>
  </xdr:twoCellAnchor>
  <xdr:twoCellAnchor>
    <xdr:from>
      <xdr:col>2</xdr:col>
      <xdr:colOff>276223</xdr:colOff>
      <xdr:row>16</xdr:row>
      <xdr:rowOff>25400</xdr:rowOff>
    </xdr:from>
    <xdr:to>
      <xdr:col>12</xdr:col>
      <xdr:colOff>200024</xdr:colOff>
      <xdr:row>22</xdr:row>
      <xdr:rowOff>38100</xdr:rowOff>
    </xdr:to>
    <xdr:sp macro="" textlink="">
      <xdr:nvSpPr>
        <xdr:cNvPr id="26" name="Rectangle: Rounded Corners 25">
          <a:extLst>
            <a:ext uri="{FF2B5EF4-FFF2-40B4-BE49-F238E27FC236}">
              <a16:creationId xmlns:a16="http://schemas.microsoft.com/office/drawing/2014/main" id="{5C3981E8-DCC9-3FD9-9319-4CB0957CB3E1}"/>
            </a:ext>
          </a:extLst>
        </xdr:cNvPr>
        <xdr:cNvSpPr/>
      </xdr:nvSpPr>
      <xdr:spPr>
        <a:xfrm>
          <a:off x="1495423" y="2921000"/>
          <a:ext cx="6019801" cy="1098550"/>
        </a:xfrm>
        <a:prstGeom prst="roundRect">
          <a:avLst/>
        </a:prstGeom>
        <a:solidFill>
          <a:schemeClr val="bg1">
            <a:lumMod val="95000"/>
          </a:schemeClr>
        </a:solidFill>
        <a:ln>
          <a:noFill/>
        </a:ln>
        <a:effectLst>
          <a:outerShdw blurRad="317500" dist="50800" dir="2400000" algn="ctr" rotWithShape="0">
            <a:schemeClr val="tx1">
              <a:lumMod val="95000"/>
              <a:lumOff val="5000"/>
              <a:alpha val="65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304798</xdr:colOff>
      <xdr:row>22</xdr:row>
      <xdr:rowOff>120649</xdr:rowOff>
    </xdr:from>
    <xdr:to>
      <xdr:col>12</xdr:col>
      <xdr:colOff>228599</xdr:colOff>
      <xdr:row>35</xdr:row>
      <xdr:rowOff>76200</xdr:rowOff>
    </xdr:to>
    <xdr:sp macro="" textlink="">
      <xdr:nvSpPr>
        <xdr:cNvPr id="28" name="Rectangle: Rounded Corners 27">
          <a:extLst>
            <a:ext uri="{FF2B5EF4-FFF2-40B4-BE49-F238E27FC236}">
              <a16:creationId xmlns:a16="http://schemas.microsoft.com/office/drawing/2014/main" id="{DA87D82B-F008-0D49-72FD-25DBD5F4B8E0}"/>
            </a:ext>
          </a:extLst>
        </xdr:cNvPr>
        <xdr:cNvSpPr/>
      </xdr:nvSpPr>
      <xdr:spPr>
        <a:xfrm>
          <a:off x="1523998" y="4102099"/>
          <a:ext cx="6019801" cy="2308226"/>
        </a:xfrm>
        <a:prstGeom prst="roundRect">
          <a:avLst/>
        </a:prstGeom>
        <a:solidFill>
          <a:schemeClr val="bg1">
            <a:lumMod val="95000"/>
          </a:schemeClr>
        </a:solidFill>
        <a:ln>
          <a:noFill/>
        </a:ln>
        <a:effectLst>
          <a:outerShdw blurRad="317500" dist="50800" dir="2400000" algn="ctr" rotWithShape="0">
            <a:schemeClr val="tx1">
              <a:lumMod val="95000"/>
              <a:lumOff val="5000"/>
              <a:alpha val="65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504822</xdr:colOff>
      <xdr:row>23</xdr:row>
      <xdr:rowOff>34924</xdr:rowOff>
    </xdr:from>
    <xdr:to>
      <xdr:col>12</xdr:col>
      <xdr:colOff>19049</xdr:colOff>
      <xdr:row>35</xdr:row>
      <xdr:rowOff>0</xdr:rowOff>
    </xdr:to>
    <xdr:graphicFrame macro="">
      <xdr:nvGraphicFramePr>
        <xdr:cNvPr id="29" name="Chart 28">
          <a:extLst>
            <a:ext uri="{FF2B5EF4-FFF2-40B4-BE49-F238E27FC236}">
              <a16:creationId xmlns:a16="http://schemas.microsoft.com/office/drawing/2014/main" id="{A7090556-E92D-4F27-9FB9-495EA0824A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457201</xdr:colOff>
          <xdr:row>17</xdr:row>
          <xdr:rowOff>19050</xdr:rowOff>
        </xdr:from>
        <xdr:to>
          <xdr:col>11</xdr:col>
          <xdr:colOff>561975</xdr:colOff>
          <xdr:row>21</xdr:row>
          <xdr:rowOff>64770</xdr:rowOff>
        </xdr:to>
        <xdr:pic>
          <xdr:nvPicPr>
            <xdr:cNvPr id="35" name="Picture 34">
              <a:hlinkClick xmlns:r="http://schemas.openxmlformats.org/officeDocument/2006/relationships" r:id="rId6"/>
              <a:extLst>
                <a:ext uri="{FF2B5EF4-FFF2-40B4-BE49-F238E27FC236}">
                  <a16:creationId xmlns:a16="http://schemas.microsoft.com/office/drawing/2014/main" id="{A319B38D-9076-1451-FA7B-518A6DDFDC3B}"/>
                </a:ext>
              </a:extLst>
            </xdr:cNvPr>
            <xdr:cNvPicPr>
              <a:picLocks noChangeAspect="1" noChangeArrowheads="1"/>
              <a:extLst>
                <a:ext uri="{84589F7E-364E-4C9E-8A38-B11213B215E9}">
                  <a14:cameraTool cellRange="'Pivot Report'!$G$39:$J$41" spid="_x0000_s4108"/>
                </a:ext>
              </a:extLst>
            </xdr:cNvPicPr>
          </xdr:nvPicPr>
          <xdr:blipFill>
            <a:blip xmlns:r="http://schemas.openxmlformats.org/officeDocument/2006/relationships" r:embed="rId7"/>
            <a:srcRect/>
            <a:stretch>
              <a:fillRect/>
            </a:stretch>
          </xdr:blipFill>
          <xdr:spPr bwMode="auto">
            <a:xfrm>
              <a:off x="1676401" y="3095625"/>
              <a:ext cx="5591174" cy="76962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12</xdr:col>
      <xdr:colOff>314325</xdr:colOff>
      <xdr:row>13</xdr:row>
      <xdr:rowOff>123824</xdr:rowOff>
    </xdr:from>
    <xdr:to>
      <xdr:col>19</xdr:col>
      <xdr:colOff>400050</xdr:colOff>
      <xdr:row>35</xdr:row>
      <xdr:rowOff>95249</xdr:rowOff>
    </xdr:to>
    <xdr:sp macro="" textlink="">
      <xdr:nvSpPr>
        <xdr:cNvPr id="36" name="Rectangle: Rounded Corners 35">
          <a:extLst>
            <a:ext uri="{FF2B5EF4-FFF2-40B4-BE49-F238E27FC236}">
              <a16:creationId xmlns:a16="http://schemas.microsoft.com/office/drawing/2014/main" id="{95B74F8C-1E15-9EC0-9B02-DB5BC6DF023E}"/>
            </a:ext>
          </a:extLst>
        </xdr:cNvPr>
        <xdr:cNvSpPr/>
      </xdr:nvSpPr>
      <xdr:spPr>
        <a:xfrm>
          <a:off x="7629525" y="2476499"/>
          <a:ext cx="4352925" cy="3952875"/>
        </a:xfrm>
        <a:prstGeom prst="roundRect">
          <a:avLst/>
        </a:prstGeom>
        <a:solidFill>
          <a:schemeClr val="bg1">
            <a:lumMod val="95000"/>
          </a:schemeClr>
        </a:solidFill>
        <a:ln>
          <a:noFill/>
        </a:ln>
        <a:effectLst>
          <a:outerShdw blurRad="317500" dist="50800" dir="2400000" algn="ctr" rotWithShape="0">
            <a:schemeClr val="tx1">
              <a:lumMod val="95000"/>
              <a:lumOff val="5000"/>
              <a:alpha val="65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466725</xdr:colOff>
      <xdr:row>15</xdr:row>
      <xdr:rowOff>0</xdr:rowOff>
    </xdr:from>
    <xdr:to>
      <xdr:col>18</xdr:col>
      <xdr:colOff>600075</xdr:colOff>
      <xdr:row>34</xdr:row>
      <xdr:rowOff>161925</xdr:rowOff>
    </xdr:to>
    <xdr:graphicFrame macro="">
      <xdr:nvGraphicFramePr>
        <xdr:cNvPr id="37" name="Chart 36">
          <a:extLst>
            <a:ext uri="{FF2B5EF4-FFF2-40B4-BE49-F238E27FC236}">
              <a16:creationId xmlns:a16="http://schemas.microsoft.com/office/drawing/2014/main" id="{302FD472-E506-492B-864B-888B242213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219075</xdr:colOff>
      <xdr:row>10</xdr:row>
      <xdr:rowOff>95251</xdr:rowOff>
    </xdr:from>
    <xdr:to>
      <xdr:col>5</xdr:col>
      <xdr:colOff>581025</xdr:colOff>
      <xdr:row>15</xdr:row>
      <xdr:rowOff>123825</xdr:rowOff>
    </xdr:to>
    <xdr:graphicFrame macro="">
      <xdr:nvGraphicFramePr>
        <xdr:cNvPr id="40" name="Chart 39">
          <a:hlinkClick xmlns:r="http://schemas.openxmlformats.org/officeDocument/2006/relationships" r:id="rId6"/>
          <a:extLst>
            <a:ext uri="{FF2B5EF4-FFF2-40B4-BE49-F238E27FC236}">
              <a16:creationId xmlns:a16="http://schemas.microsoft.com/office/drawing/2014/main" id="{EA7B66EE-1D4D-4535-8C56-88DB7FC495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476250</xdr:colOff>
      <xdr:row>11</xdr:row>
      <xdr:rowOff>104774</xdr:rowOff>
    </xdr:from>
    <xdr:to>
      <xdr:col>9</xdr:col>
      <xdr:colOff>95249</xdr:colOff>
      <xdr:row>15</xdr:row>
      <xdr:rowOff>95249</xdr:rowOff>
    </xdr:to>
    <xdr:graphicFrame macro="">
      <xdr:nvGraphicFramePr>
        <xdr:cNvPr id="43" name="Chart 42">
          <a:hlinkClick xmlns:r="http://schemas.openxmlformats.org/officeDocument/2006/relationships" r:id="rId10"/>
          <a:extLst>
            <a:ext uri="{FF2B5EF4-FFF2-40B4-BE49-F238E27FC236}">
              <a16:creationId xmlns:a16="http://schemas.microsoft.com/office/drawing/2014/main" id="{A3CC6CE1-B9E4-48AB-959A-4548D08DAE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95249</xdr:colOff>
      <xdr:row>10</xdr:row>
      <xdr:rowOff>95250</xdr:rowOff>
    </xdr:from>
    <xdr:to>
      <xdr:col>12</xdr:col>
      <xdr:colOff>322648</xdr:colOff>
      <xdr:row>15</xdr:row>
      <xdr:rowOff>95249</xdr:rowOff>
    </xdr:to>
    <xdr:graphicFrame macro="">
      <xdr:nvGraphicFramePr>
        <xdr:cNvPr id="44" name="Chart 43">
          <a:hlinkClick xmlns:r="http://schemas.openxmlformats.org/officeDocument/2006/relationships" r:id="rId12"/>
          <a:extLst>
            <a:ext uri="{FF2B5EF4-FFF2-40B4-BE49-F238E27FC236}">
              <a16:creationId xmlns:a16="http://schemas.microsoft.com/office/drawing/2014/main" id="{A28463CC-127C-4E51-A536-AB4D4BB5F1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428623</xdr:colOff>
      <xdr:row>9</xdr:row>
      <xdr:rowOff>9525</xdr:rowOff>
    </xdr:from>
    <xdr:to>
      <xdr:col>5</xdr:col>
      <xdr:colOff>180974</xdr:colOff>
      <xdr:row>13</xdr:row>
      <xdr:rowOff>104775</xdr:rowOff>
    </xdr:to>
    <xdr:sp macro="" textlink="'Pivot Report'!A5">
      <xdr:nvSpPr>
        <xdr:cNvPr id="45" name="TextBox 44">
          <a:hlinkClick xmlns:r="http://schemas.openxmlformats.org/officeDocument/2006/relationships" r:id="rId6"/>
          <a:extLst>
            <a:ext uri="{FF2B5EF4-FFF2-40B4-BE49-F238E27FC236}">
              <a16:creationId xmlns:a16="http://schemas.microsoft.com/office/drawing/2014/main" id="{5396EC14-8249-47EB-BA21-29DE3C7C15E8}"/>
            </a:ext>
          </a:extLst>
        </xdr:cNvPr>
        <xdr:cNvSpPr txBox="1"/>
      </xdr:nvSpPr>
      <xdr:spPr>
        <a:xfrm>
          <a:off x="1647823" y="1638300"/>
          <a:ext cx="1581151" cy="819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t>No.</a:t>
          </a:r>
          <a:r>
            <a:rPr lang="en-US" sz="1800" baseline="0"/>
            <a:t> of Patients</a:t>
          </a:r>
          <a:endParaRPr lang="en-US" sz="1800"/>
        </a:p>
      </xdr:txBody>
    </xdr:sp>
    <xdr:clientData/>
  </xdr:twoCellAnchor>
  <xdr:twoCellAnchor editAs="oneCell">
    <xdr:from>
      <xdr:col>4</xdr:col>
      <xdr:colOff>352424</xdr:colOff>
      <xdr:row>6</xdr:row>
      <xdr:rowOff>66674</xdr:rowOff>
    </xdr:from>
    <xdr:to>
      <xdr:col>5</xdr:col>
      <xdr:colOff>419099</xdr:colOff>
      <xdr:row>10</xdr:row>
      <xdr:rowOff>19049</xdr:rowOff>
    </xdr:to>
    <xdr:pic>
      <xdr:nvPicPr>
        <xdr:cNvPr id="47" name="Graphic 46" descr="Male profile">
          <a:extLst>
            <a:ext uri="{FF2B5EF4-FFF2-40B4-BE49-F238E27FC236}">
              <a16:creationId xmlns:a16="http://schemas.microsoft.com/office/drawing/2014/main" id="{B39F8AEA-582E-B320-64E3-56A552C7D475}"/>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790824" y="1152524"/>
          <a:ext cx="676275" cy="676275"/>
        </a:xfrm>
        <a:prstGeom prst="rect">
          <a:avLst/>
        </a:prstGeom>
      </xdr:spPr>
    </xdr:pic>
    <xdr:clientData/>
  </xdr:twoCellAnchor>
  <xdr:twoCellAnchor editAs="oneCell">
    <xdr:from>
      <xdr:col>8</xdr:col>
      <xdr:colOff>66674</xdr:colOff>
      <xdr:row>6</xdr:row>
      <xdr:rowOff>66675</xdr:rowOff>
    </xdr:from>
    <xdr:to>
      <xdr:col>9</xdr:col>
      <xdr:colOff>19049</xdr:colOff>
      <xdr:row>9</xdr:row>
      <xdr:rowOff>85725</xdr:rowOff>
    </xdr:to>
    <xdr:pic>
      <xdr:nvPicPr>
        <xdr:cNvPr id="49" name="Graphic 48" descr="Hourglass">
          <a:extLst>
            <a:ext uri="{FF2B5EF4-FFF2-40B4-BE49-F238E27FC236}">
              <a16:creationId xmlns:a16="http://schemas.microsoft.com/office/drawing/2014/main" id="{1EAC56C5-0524-65D1-8589-5BEEFACD73FD}"/>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4943474" y="1152525"/>
          <a:ext cx="561975" cy="561975"/>
        </a:xfrm>
        <a:prstGeom prst="rect">
          <a:avLst/>
        </a:prstGeom>
      </xdr:spPr>
    </xdr:pic>
    <xdr:clientData/>
  </xdr:twoCellAnchor>
  <xdr:twoCellAnchor>
    <xdr:from>
      <xdr:col>6</xdr:col>
      <xdr:colOff>314323</xdr:colOff>
      <xdr:row>7</xdr:row>
      <xdr:rowOff>34924</xdr:rowOff>
    </xdr:from>
    <xdr:to>
      <xdr:col>8</xdr:col>
      <xdr:colOff>9524</xdr:colOff>
      <xdr:row>10</xdr:row>
      <xdr:rowOff>28575</xdr:rowOff>
    </xdr:to>
    <xdr:sp macro="" textlink="'Pivot Report'!A8">
      <xdr:nvSpPr>
        <xdr:cNvPr id="50" name="TextBox 49">
          <a:extLst>
            <a:ext uri="{FF2B5EF4-FFF2-40B4-BE49-F238E27FC236}">
              <a16:creationId xmlns:a16="http://schemas.microsoft.com/office/drawing/2014/main" id="{D7EB5F7E-9C18-42D7-96F3-B1BEBB9C4282}"/>
            </a:ext>
          </a:extLst>
        </xdr:cNvPr>
        <xdr:cNvSpPr txBox="1"/>
      </xdr:nvSpPr>
      <xdr:spPr>
        <a:xfrm>
          <a:off x="3971923" y="1301749"/>
          <a:ext cx="914401" cy="53657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574558FB-75AE-4D88-B538-1DB1EEC64472}" type="TxLink">
            <a:rPr lang="en-US" sz="2400" b="0" i="0" u="none" strike="noStrike">
              <a:solidFill>
                <a:srgbClr val="000000"/>
              </a:solidFill>
              <a:latin typeface="Calibri"/>
              <a:ea typeface="Calibri"/>
              <a:cs typeface="Calibri"/>
            </a:rPr>
            <a:pPr/>
            <a:t>35.20</a:t>
          </a:fld>
          <a:endParaRPr lang="en-US" sz="1600"/>
        </a:p>
      </xdr:txBody>
    </xdr:sp>
    <xdr:clientData/>
  </xdr:twoCellAnchor>
  <xdr:twoCellAnchor>
    <xdr:from>
      <xdr:col>6</xdr:col>
      <xdr:colOff>28575</xdr:colOff>
      <xdr:row>9</xdr:row>
      <xdr:rowOff>161925</xdr:rowOff>
    </xdr:from>
    <xdr:to>
      <xdr:col>8</xdr:col>
      <xdr:colOff>533400</xdr:colOff>
      <xdr:row>12</xdr:row>
      <xdr:rowOff>38100</xdr:rowOff>
    </xdr:to>
    <xdr:sp macro="" textlink="'Pivot Report'!A5">
      <xdr:nvSpPr>
        <xdr:cNvPr id="51" name="TextBox 50">
          <a:extLst>
            <a:ext uri="{FF2B5EF4-FFF2-40B4-BE49-F238E27FC236}">
              <a16:creationId xmlns:a16="http://schemas.microsoft.com/office/drawing/2014/main" id="{3FE7EDD9-1727-4F4D-9CE3-817549D8EEA3}"/>
            </a:ext>
          </a:extLst>
        </xdr:cNvPr>
        <xdr:cNvSpPr txBox="1"/>
      </xdr:nvSpPr>
      <xdr:spPr>
        <a:xfrm>
          <a:off x="3694413" y="1830087"/>
          <a:ext cx="1726771" cy="43222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800"/>
            <a:t>Avg.</a:t>
          </a:r>
          <a:r>
            <a:rPr lang="en-US" sz="1800" baseline="0"/>
            <a:t> Wait Time</a:t>
          </a:r>
          <a:endParaRPr lang="en-US" sz="1800"/>
        </a:p>
      </xdr:txBody>
    </xdr:sp>
    <xdr:clientData/>
  </xdr:twoCellAnchor>
  <xdr:twoCellAnchor editAs="oneCell">
    <xdr:from>
      <xdr:col>11</xdr:col>
      <xdr:colOff>161925</xdr:colOff>
      <xdr:row>6</xdr:row>
      <xdr:rowOff>76200</xdr:rowOff>
    </xdr:from>
    <xdr:to>
      <xdr:col>12</xdr:col>
      <xdr:colOff>209550</xdr:colOff>
      <xdr:row>10</xdr:row>
      <xdr:rowOff>9525</xdr:rowOff>
    </xdr:to>
    <xdr:pic>
      <xdr:nvPicPr>
        <xdr:cNvPr id="53" name="Graphic 52" descr="Star">
          <a:extLst>
            <a:ext uri="{FF2B5EF4-FFF2-40B4-BE49-F238E27FC236}">
              <a16:creationId xmlns:a16="http://schemas.microsoft.com/office/drawing/2014/main" id="{471209D1-B6B5-DE90-4489-AAFCF18B3E27}"/>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6867525" y="1162050"/>
          <a:ext cx="657225" cy="657225"/>
        </a:xfrm>
        <a:prstGeom prst="rect">
          <a:avLst/>
        </a:prstGeom>
      </xdr:spPr>
    </xdr:pic>
    <xdr:clientData/>
  </xdr:twoCellAnchor>
  <xdr:twoCellAnchor>
    <xdr:from>
      <xdr:col>9</xdr:col>
      <xdr:colOff>371475</xdr:colOff>
      <xdr:row>7</xdr:row>
      <xdr:rowOff>85725</xdr:rowOff>
    </xdr:from>
    <xdr:to>
      <xdr:col>11</xdr:col>
      <xdr:colOff>161925</xdr:colOff>
      <xdr:row>9</xdr:row>
      <xdr:rowOff>104775</xdr:rowOff>
    </xdr:to>
    <xdr:sp macro="" textlink="">
      <xdr:nvSpPr>
        <xdr:cNvPr id="56" name="TextBox 55">
          <a:extLst>
            <a:ext uri="{FF2B5EF4-FFF2-40B4-BE49-F238E27FC236}">
              <a16:creationId xmlns:a16="http://schemas.microsoft.com/office/drawing/2014/main" id="{02586429-1CE4-CBB0-917E-2B9856786562}"/>
            </a:ext>
          </a:extLst>
        </xdr:cNvPr>
        <xdr:cNvSpPr txBox="1"/>
      </xdr:nvSpPr>
      <xdr:spPr>
        <a:xfrm>
          <a:off x="5857875" y="1352550"/>
          <a:ext cx="100965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a:t>5.30</a:t>
          </a:r>
        </a:p>
      </xdr:txBody>
    </xdr:sp>
    <xdr:clientData/>
  </xdr:twoCellAnchor>
  <xdr:twoCellAnchor>
    <xdr:from>
      <xdr:col>9</xdr:col>
      <xdr:colOff>76200</xdr:colOff>
      <xdr:row>10</xdr:row>
      <xdr:rowOff>19050</xdr:rowOff>
    </xdr:from>
    <xdr:to>
      <xdr:col>12</xdr:col>
      <xdr:colOff>285750</xdr:colOff>
      <xdr:row>12</xdr:row>
      <xdr:rowOff>28575</xdr:rowOff>
    </xdr:to>
    <xdr:sp macro="" textlink="'Pivot Report'!V24">
      <xdr:nvSpPr>
        <xdr:cNvPr id="57" name="TextBox 56">
          <a:extLst>
            <a:ext uri="{FF2B5EF4-FFF2-40B4-BE49-F238E27FC236}">
              <a16:creationId xmlns:a16="http://schemas.microsoft.com/office/drawing/2014/main" id="{546C67DD-3619-A03B-CDCC-C4708048DE6F}"/>
            </a:ext>
          </a:extLst>
        </xdr:cNvPr>
        <xdr:cNvSpPr txBox="1"/>
      </xdr:nvSpPr>
      <xdr:spPr>
        <a:xfrm>
          <a:off x="5562600" y="1828800"/>
          <a:ext cx="2038350"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a:t>Patient</a:t>
          </a:r>
          <a:r>
            <a:rPr lang="en-US" sz="1400" baseline="0"/>
            <a:t> Satisfaction Score</a:t>
          </a:r>
          <a:endParaRPr lang="en-US" sz="14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594360</xdr:colOff>
      <xdr:row>0</xdr:row>
      <xdr:rowOff>175260</xdr:rowOff>
    </xdr:from>
    <xdr:to>
      <xdr:col>18</xdr:col>
      <xdr:colOff>579120</xdr:colOff>
      <xdr:row>19</xdr:row>
      <xdr:rowOff>137160</xdr:rowOff>
    </xdr:to>
    <xdr:graphicFrame macro="">
      <xdr:nvGraphicFramePr>
        <xdr:cNvPr id="2" name="Chart 1">
          <a:extLst>
            <a:ext uri="{FF2B5EF4-FFF2-40B4-BE49-F238E27FC236}">
              <a16:creationId xmlns:a16="http://schemas.microsoft.com/office/drawing/2014/main" id="{111D2093-9CDD-4E2F-81B7-0E95E4BBF3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cdr:x>
      <cdr:y>0</cdr:y>
    </cdr:from>
    <cdr:to>
      <cdr:x>0.05702</cdr:x>
      <cdr:y>0.15965</cdr:y>
    </cdr:to>
    <cdr:pic>
      <cdr:nvPicPr>
        <cdr:cNvPr id="3" name="Graphic 2" descr="Hom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5846DC17-FBE9-DBE2-F5C5-A647B1B1810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624840" cy="54864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1</xdr:col>
      <xdr:colOff>0</xdr:colOff>
      <xdr:row>1</xdr:row>
      <xdr:rowOff>7620</xdr:rowOff>
    </xdr:from>
    <xdr:to>
      <xdr:col>19</xdr:col>
      <xdr:colOff>7620</xdr:colOff>
      <xdr:row>20</xdr:row>
      <xdr:rowOff>7620</xdr:rowOff>
    </xdr:to>
    <xdr:graphicFrame macro="">
      <xdr:nvGraphicFramePr>
        <xdr:cNvPr id="2" name="Chart 1">
          <a:extLst>
            <a:ext uri="{FF2B5EF4-FFF2-40B4-BE49-F238E27FC236}">
              <a16:creationId xmlns:a16="http://schemas.microsoft.com/office/drawing/2014/main" id="{9831BAC5-6062-4832-9B44-0DAE9E5075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0.00463</cdr:x>
      <cdr:y>0.01462</cdr:y>
    </cdr:from>
    <cdr:to>
      <cdr:x>0.06292</cdr:x>
      <cdr:y>0.16813</cdr:y>
    </cdr:to>
    <cdr:pic>
      <cdr:nvPicPr>
        <cdr:cNvPr id="3" name="Graphic 4" descr="Hom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1C7F3510-A019-976B-5CD9-650DC2478DE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640049" cy="533404"/>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1</xdr:col>
      <xdr:colOff>0</xdr:colOff>
      <xdr:row>1</xdr:row>
      <xdr:rowOff>7620</xdr:rowOff>
    </xdr:from>
    <xdr:to>
      <xdr:col>19</xdr:col>
      <xdr:colOff>0</xdr:colOff>
      <xdr:row>20</xdr:row>
      <xdr:rowOff>0</xdr:rowOff>
    </xdr:to>
    <xdr:graphicFrame macro="">
      <xdr:nvGraphicFramePr>
        <xdr:cNvPr id="3" name="Chart 2">
          <a:extLst>
            <a:ext uri="{FF2B5EF4-FFF2-40B4-BE49-F238E27FC236}">
              <a16:creationId xmlns:a16="http://schemas.microsoft.com/office/drawing/2014/main" id="{518C3DDA-BEF6-42FB-B120-4992820732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0.00185</cdr:x>
      <cdr:y>0.00586</cdr:y>
    </cdr:from>
    <cdr:to>
      <cdr:x>0.06019</cdr:x>
      <cdr:y>0.15971</cdr:y>
    </cdr:to>
    <cdr:pic>
      <cdr:nvPicPr>
        <cdr:cNvPr id="2" name="Graphic 4" descr="Hom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4C3DC236-0DAB-C574-EE6D-7F5C0568F20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20320" y="20320"/>
          <a:ext cx="640080" cy="53340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50.327405555552" createdVersion="5" refreshedVersion="8" minRefreshableVersion="3" recordCount="0" supportSubquery="1" supportAdvancedDrill="1" xr:uid="{77255AC2-9A2D-4437-A8ED-3DBEB19A4C1B}">
  <cacheSource type="external" connectionId="3"/>
  <cacheFields count="4">
    <cacheField name="[Measures].[Count of Patient Id]" caption="Count of Patient Id" numFmtId="0" hierarchy="23" level="32767"/>
    <cacheField name="[Calender_Table].[Date (Day)].[Date (Day)]" caption="Date (Day)" numFmtId="0" hierarchy="2"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2">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50.327406597222" createdVersion="5" refreshedVersion="8" minRefreshableVersion="3" recordCount="0" supportSubquery="1" supportAdvancedDrill="1" xr:uid="{9219CC3B-EBD8-4767-997A-D2610D8ABE99}">
  <cacheSource type="external" connectionId="3"/>
  <cacheFields count="3">
    <cacheField name="[Measures].[Count of Patient Id]" caption="Count of Patient Id" numFmtId="0" hierarchy="23"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2">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50.32740775463" createdVersion="5" refreshedVersion="8" minRefreshableVersion="3" recordCount="0" supportSubquery="1" supportAdvancedDrill="1" xr:uid="{3B31E295-609A-4DAE-BE3F-E5536A572E57}">
  <cacheSource type="external" connectionId="3"/>
  <cacheFields count="3">
    <cacheField name="[Measures].[Average of Patient Waittime]" caption="Average of Patient Waittime" numFmtId="0" hierarchy="25"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2">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50.327408912039" createdVersion="5" refreshedVersion="8" minRefreshableVersion="3" recordCount="0" supportSubquery="1" supportAdvancedDrill="1" xr:uid="{74CEC81D-49CF-4EAF-81C8-D8D3F09F5200}">
  <cacheSource type="external" connectionId="3"/>
  <cacheFields count="3">
    <cacheField name="[Measures].[Average of Patient Satisfaction Score]" caption="Average of Patient Satisfaction Score" numFmtId="0" hierarchy="27"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2">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50.327410300924" createdVersion="5" refreshedVersion="8" minRefreshableVersion="3" recordCount="0" supportSubquery="1" supportAdvancedDrill="1" xr:uid="{25ABE362-21A4-49BD-BB13-4047647A9B6B}">
  <cacheSource type="external" connectionId="3"/>
  <cacheFields count="4">
    <cacheField name="[Calender_Table].[Date (Day)].[Date (Day)]" caption="Date (Day)" numFmtId="0" hierarchy="2"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5" level="32767"/>
    <cacheField name="[Calender_Table].[Date (Year)].[Date (Year)]" caption="Date (Year)" numFmtId="0" hierarchy="3" level="1">
      <sharedItems containsSemiMixedTypes="0" containsNonDate="0" containsString="0"/>
    </cacheField>
  </cacheFields>
  <cacheHierarchies count="32">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50.327411689817" createdVersion="5" refreshedVersion="8" minRefreshableVersion="3" recordCount="0" supportSubquery="1" supportAdvancedDrill="1" xr:uid="{DFF55715-8EDB-490B-B694-219BE71D68C9}">
  <cacheSource type="external" connectionId="3"/>
  <cacheFields count="4">
    <cacheField name="[Calender_Table].[Date (Day)].[Date (Day)]" caption="Date (Day)" numFmtId="0" hierarchy="2"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 name="[Measures].[Sum of Patient Satisfaction Score]" caption="Sum of Patient Satisfaction Score" numFmtId="0" hierarchy="26" level="32767"/>
  </cacheFields>
  <cacheHierarchies count="32">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oneField="1" hidden="1">
      <fieldsUsage count="1">
        <fieldUsage x="3"/>
      </fieldsUsage>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50.327413194442" createdVersion="5" refreshedVersion="8" minRefreshableVersion="3" recordCount="0" supportSubquery="1" supportAdvancedDrill="1" xr:uid="{2051AC1D-DF0D-4430-B23A-FFA2359411F5}">
  <cacheSource type="external" connectionId="3"/>
  <cacheFields count="5">
    <cacheField name="[Calender_Table].[Date (Month)].[Date (Month)]" caption="Date (Month)" numFmtId="0" hierarchy="1" level="1">
      <sharedItems containsSemiMixedTypes="0" containsNonDate="0" containsString="0"/>
    </cacheField>
    <cacheField name="[Measures].[Count of Patient Admission Flag]" caption="Count of Patient Admission Flag" numFmtId="0" hierarchy="28" level="32767"/>
    <cacheField name="[Hospital Emergency Room Data].[Patient Admission Flag].[Patient Admission Flag]" caption="Patient Admission Flag" numFmtId="0" hierarchy="13" level="1">
      <sharedItems count="2">
        <s v="Admitted"/>
        <s v="Not Admitted"/>
      </sharedItems>
    </cacheField>
    <cacheField name="[Calender_Table].[Date (Year)].[Date (Year)]" caption="Date (Year)" numFmtId="0" hierarchy="3" level="1">
      <sharedItems containsSemiMixedTypes="0" containsNonDate="0" containsString="0"/>
    </cacheField>
    <cacheField name="Unsupported0" numFmtId="0" hierarchy="32" level="32767">
      <extLst>
        <ext xmlns:x14="http://schemas.microsoft.com/office/spreadsheetml/2009/9/main" uri="{63CAB8AC-B538-458d-9737-405883B0398D}">
          <x14:cacheField ignore="1"/>
        </ext>
      </extLst>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50.327413657411" createdVersion="5" refreshedVersion="8" minRefreshableVersion="3" recordCount="0" supportSubquery="1" supportAdvancedDrill="1" xr:uid="{65B9A271-7887-4505-814A-7D2093FA9AA0}">
  <cacheSource type="external" connectionId="3"/>
  <cacheFields count="4">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9"/>
        <s v="10-19"/>
        <s v="20-29"/>
        <s v="30-39"/>
        <s v="40-49"/>
        <s v="50-59"/>
        <s v="60-69"/>
        <s v="70-79"/>
      </sharedItems>
    </cacheField>
    <cacheField name="[Measures].[Sum of Patient Age]" caption="Sum of Patient Age" numFmtId="0" hierarchy="29" level="32767"/>
    <cacheField name="[Calender_Table].[Date (Year)].[Date (Year)]" caption="Date (Year)" numFmtId="0" hierarchy="3" level="1">
      <sharedItems containsSemiMixedTypes="0" containsNonDate="0" containsString="0"/>
    </cacheField>
  </cacheFields>
  <cacheHierarchies count="32">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50.327414236112" createdVersion="5" refreshedVersion="8" minRefreshableVersion="3" recordCount="0" supportSubquery="1" supportAdvancedDrill="1" xr:uid="{8F68B473-3573-4716-8435-0868B6B34633}">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Id]" caption="Count of Patient Id" numFmtId="0" hierarchy="23" level="32767"/>
    <cacheField name="[Calender_Table].[Date (Year)].[Date (Year)]" caption="Date (Year)" numFmtId="0" hierarchy="3" level="1">
      <sharedItems containsSemiMixedTypes="0" containsNonDate="0" containsString="0"/>
    </cacheField>
  </cacheFields>
  <cacheHierarchies count="32">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50.327414814812" createdVersion="5" refreshedVersion="8" minRefreshableVersion="3" recordCount="0" supportSubquery="1" supportAdvancedDrill="1" xr:uid="{1449A97B-9531-409D-AEE9-85E8243F2728}">
  <cacheSource type="external" connectionId="3"/>
  <cacheFields count="4">
    <cacheField name="[Calender_Table].[Date (Month)].[Date (Month)]" caption="Date (Month)" numFmtId="0" hierarchy="1" level="1">
      <sharedItems containsSemiMixedTypes="0" containsNonDate="0" containsString="0"/>
    </cacheField>
    <cacheField name="[Measures].[Count of Patient Gender]" caption="Count of Patient Gender" numFmtId="0" hierarchy="30" level="32767"/>
    <cacheField name="[Hospital Emergency Room Data].[Patient Gender].[Patient Gender]" caption="Patient Gender" numFmtId="0" hierarchy="9" level="1">
      <sharedItems count="2">
        <s v="Female"/>
        <s v="Male"/>
      </sharedItems>
    </cacheField>
    <cacheField name="[Calender_Table].[Date (Year)].[Date (Year)]" caption="Date (Year)" numFmtId="0" hierarchy="3" level="1">
      <sharedItems containsSemiMixedTypes="0" containsNonDate="0" containsString="0"/>
    </cacheField>
  </cacheFields>
  <cacheHierarchies count="32">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50.327415277781" createdVersion="5" refreshedVersion="8" minRefreshableVersion="3" recordCount="0" supportSubquery="1" supportAdvancedDrill="1" xr:uid="{2CBF076F-4737-48A1-8139-49F9A2FBCDFE}">
  <cacheSource type="external" connectionId="3"/>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1" level="32767"/>
    <cacheField name="[Calender_Table].[Date (Year)].[Date (Year)]" caption="Date (Year)" numFmtId="0" hierarchy="3" level="1">
      <sharedItems containsSemiMixedTypes="0" containsNonDate="0" containsString="0"/>
    </cacheField>
  </cacheFields>
  <cacheHierarchies count="32">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50.35543541667" createdVersion="5" refreshedVersion="8" minRefreshableVersion="3" recordCount="0" supportSubquery="1" supportAdvancedDrill="1" xr:uid="{8B1C8996-CF27-4019-93D6-770D9484A45A}">
  <cacheSource type="external" connectionId="3"/>
  <cacheFields count="4">
    <cacheField name="[Calender_Table].[Date (Month)].[Date (Month)]" caption="Date (Month)" numFmtId="0" hierarchy="1" level="1">
      <sharedItems count="1">
        <s v="Jul"/>
      </sharedItems>
    </cacheField>
    <cacheField name="[Calender_Table].[Date].[Date]" caption="Date" numFmtId="0" level="1">
      <sharedItems containsSemiMixedTypes="0" containsNonDate="0" containsDate="1" containsString="0" minDate="2024-07-01T00:00:00" maxDate="2024-08-01T00:00:00" count="31">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sharedItems>
    </cacheField>
    <cacheField name="[Calender_Table].[Date (Quarter)].[Date (Quarter)]" caption="Date (Quarter)" numFmtId="0" hierarchy="4" level="1">
      <sharedItems count="1">
        <s v="Qtr3"/>
      </sharedItems>
    </cacheField>
    <cacheField name="[Calender_Table].[Date (Year)].[Date (Year)]" caption="Date (Year)" numFmtId="0" hierarchy="3" level="1">
      <sharedItems count="1">
        <s v="2024"/>
      </sharedItems>
    </cacheField>
  </cacheFields>
  <cacheHierarchies count="32">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2"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50.111220601852" createdVersion="3" refreshedVersion="8" minRefreshableVersion="3" recordCount="0" supportSubquery="1" supportAdvancedDrill="1" xr:uid="{98184CC7-5C23-4FDC-B295-FFA4BD46DD07}">
  <cacheSource type="external" connectionId="3">
    <extLst>
      <ext xmlns:x14="http://schemas.microsoft.com/office/spreadsheetml/2009/9/main" uri="{F057638F-6D5F-4e77-A914-E7F072B9BCA8}">
        <x14:sourceConnection name="ThisWorkbookDataModel"/>
      </ext>
    </extLst>
  </cacheSource>
  <cacheFields count="0"/>
  <cacheHierarchies count="32">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27607782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0273A1-2569-4CC1-BED1-F5074999548A}" name="PivotTable8" cacheId="7" applyNumberFormats="0" applyBorderFormats="0" applyFontFormats="0" applyPatternFormats="0" applyAlignmentFormats="0" applyWidthHeightFormats="1" dataCaption="Values" tag="fe73848b-42da-4c42-bbdc-5e4f3f48751b" updatedVersion="8" minRefreshableVersion="3" subtotalHiddenItems="1" itemPrintTitles="1" createdVersion="5" indent="0" outline="1" outlineData="1" multipleFieldFilters="0" chartFormat="12">
  <location ref="A49:B5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Sum of Patient Age" fld="2" baseField="0" baseItem="0"/>
  </dataFields>
  <formats count="3">
    <format dxfId="4">
      <pivotArea outline="0" collapsedLevelsAreSubtotals="1" fieldPosition="0"/>
    </format>
    <format dxfId="3">
      <pivotArea grandRow="1" outline="0" collapsedLevelsAreSubtotals="1" fieldPosition="0"/>
    </format>
    <format dxfId="2">
      <pivotArea collapsedLevelsAreSubtotals="1" fieldPosition="0">
        <references count="1">
          <reference field="1" count="0"/>
        </references>
      </pivotArea>
    </format>
  </formats>
  <chartFormats count="2">
    <chartFormat chart="8"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D1DFA3-F143-4D55-BAF3-5A6107DEE63C}" name="PivotTable1" cacheId="1" applyNumberFormats="0" applyBorderFormats="0" applyFontFormats="0" applyPatternFormats="0" applyAlignmentFormats="0" applyWidthHeightFormats="1" dataCaption="Values" tag="5891effd-6a50-4350-b161-f9b7e95148f7" updatedVersion="8" minRefreshableVersion="3" useAutoFormatting="1"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Patient Id" fld="0" subtotal="count" baseField="0" baseItem="0"/>
  </dataFields>
  <pivotHierarchies count="32">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304308-C812-43FA-A3B4-D9CFE8D750FA}" name="PivotTable6" cacheId="5" applyNumberFormats="0" applyBorderFormats="0" applyFontFormats="0" applyPatternFormats="0" applyAlignmentFormats="0" applyWidthHeightFormats="1" dataCaption="Values" tag="5891effd-6a50-4350-b161-f9b7e95148f7" updatedVersion="8" minRefreshableVersion="3" useAutoFormatting="1" subtotalHiddenItems="1" itemPrintTitles="1" createdVersion="5" indent="0" outline="1" outlineData="1" multipleFieldFilters="0" chartFormat="45">
  <location ref="J4:K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Patient Satisfaction Score" fld="3" baseField="0" baseItem="0"/>
  </dataFields>
  <formats count="2">
    <format dxfId="6">
      <pivotArea collapsedLevelsAreSubtotals="1" fieldPosition="0">
        <references count="1">
          <reference field="0" count="0"/>
        </references>
      </pivotArea>
    </format>
    <format dxfId="5">
      <pivotArea grandRow="1" outline="0" collapsedLevelsAreSubtotals="1" fieldPosition="0"/>
    </format>
  </formats>
  <chartFormats count="2">
    <chartFormat chart="34" format="3"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3C5A20-4BD7-4AE1-867C-C973062DCB5B}" name="PivotTable4" cacheId="0" applyNumberFormats="0" applyBorderFormats="0" applyFontFormats="0" applyPatternFormats="0" applyAlignmentFormats="0" applyWidthHeightFormats="1" dataCaption="Values" tag="5891effd-6a50-4350-b161-f9b7e95148f7" updatedVersion="8" minRefreshableVersion="3" useAutoFormatting="1" subtotalHiddenItems="1" itemPrintTitles="1" createdVersion="5" indent="0" outline="1" outlineData="1" multipleFieldFilters="0" chartFormat="31">
  <location ref="C4:D36"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Patient Id" fld="0" subtotal="count" baseField="0" baseItem="0"/>
  </dataFields>
  <chartFormats count="3">
    <chartFormat chart="11" format="5" series="1">
      <pivotArea type="data" outline="0" fieldPosition="0">
        <references count="1">
          <reference field="4294967294" count="1" selected="0">
            <x v="0"/>
          </reference>
        </references>
      </pivotArea>
    </chartFormat>
    <chartFormat chart="25" format="3"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383EFEA-326E-46CF-8EFB-2D65644D8FAB}" name="PivotTable5" cacheId="4" applyNumberFormats="0" applyBorderFormats="0" applyFontFormats="0" applyPatternFormats="0" applyAlignmentFormats="0" applyWidthHeightFormats="1" dataCaption="Values" tag="5891effd-6a50-4350-b161-f9b7e95148f7" updatedVersion="8" minRefreshableVersion="3" useAutoFormatting="1" subtotalHiddenItems="1" itemPrintTitles="1" createdVersion="5" indent="0" outline="1" outlineData="1" multipleFieldFilters="0" chartFormat="40">
  <location ref="G4:H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formats count="2">
    <format dxfId="8">
      <pivotArea collapsedLevelsAreSubtotals="1" fieldPosition="0">
        <references count="1">
          <reference field="0" count="0"/>
        </references>
      </pivotArea>
    </format>
    <format dxfId="7">
      <pivotArea grandRow="1" outline="0" collapsedLevelsAreSubtotals="1" fieldPosition="0"/>
    </format>
  </formats>
  <chartFormats count="2">
    <chartFormat chart="26" format="6"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92B1CA0-0E37-4E33-8A63-AACD205E662F}" name="PivotTable11" cacheId="10" applyNumberFormats="0" applyBorderFormats="0" applyFontFormats="0" applyPatternFormats="0" applyAlignmentFormats="0" applyWidthHeightFormats="1" dataCaption="Values" tag="fe73848b-42da-4c42-bbdc-5e4f3f48751b" updatedVersion="8" minRefreshableVersion="3" subtotalHiddenItems="1" itemPrintTitles="1" createdVersion="5" indent="0" outline="1" outlineData="1" multipleFieldFilters="0" chartFormat="35">
  <location ref="P49:Q58"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3"/>
    </i>
    <i>
      <x/>
    </i>
    <i>
      <x v="1"/>
    </i>
    <i>
      <x v="6"/>
    </i>
    <i>
      <x v="5"/>
    </i>
    <i>
      <x v="2"/>
    </i>
    <i>
      <x v="4"/>
    </i>
    <i t="grand">
      <x/>
    </i>
  </rowItems>
  <colItems count="1">
    <i/>
  </colItems>
  <dataFields count="1">
    <dataField name="Count of Department Referral" fld="2" subtotal="count" baseField="0" baseItem="0"/>
  </dataFields>
  <formats count="2">
    <format dxfId="10">
      <pivotArea outline="0" collapsedLevelsAreSubtotals="1" fieldPosition="0"/>
    </format>
    <format dxfId="9">
      <pivotArea grandRow="1" outline="0" collapsedLevelsAreSubtotals="1" fieldPosition="0"/>
    </format>
  </formats>
  <chartFormats count="10">
    <chartFormat chart="28" format="0" series="1">
      <pivotArea type="data" outline="0" fieldPosition="0">
        <references count="1">
          <reference field="4294967294" count="1" selected="0">
            <x v="0"/>
          </reference>
        </references>
      </pivotArea>
    </chartFormat>
    <chartFormat chart="32" format="4" series="1">
      <pivotArea type="data" outline="0" fieldPosition="0">
        <references count="1">
          <reference field="4294967294" count="1" selected="0">
            <x v="0"/>
          </reference>
        </references>
      </pivotArea>
    </chartFormat>
    <chartFormat chart="32" format="5">
      <pivotArea type="data" outline="0" fieldPosition="0">
        <references count="2">
          <reference field="4294967294" count="1" selected="0">
            <x v="0"/>
          </reference>
          <reference field="1" count="1" selected="0">
            <x v="4"/>
          </reference>
        </references>
      </pivotArea>
    </chartFormat>
    <chartFormat chart="32" format="6">
      <pivotArea type="data" outline="0" fieldPosition="0">
        <references count="2">
          <reference field="4294967294" count="1" selected="0">
            <x v="0"/>
          </reference>
          <reference field="1" count="1" selected="0">
            <x v="2"/>
          </reference>
        </references>
      </pivotArea>
    </chartFormat>
    <chartFormat chart="32" format="7">
      <pivotArea type="data" outline="0" fieldPosition="0">
        <references count="2">
          <reference field="4294967294" count="1" selected="0">
            <x v="0"/>
          </reference>
          <reference field="1" count="1" selected="0">
            <x v="5"/>
          </reference>
        </references>
      </pivotArea>
    </chartFormat>
    <chartFormat chart="32" format="8">
      <pivotArea type="data" outline="0" fieldPosition="0">
        <references count="2">
          <reference field="4294967294" count="1" selected="0">
            <x v="0"/>
          </reference>
          <reference field="1" count="1" selected="0">
            <x v="0"/>
          </reference>
        </references>
      </pivotArea>
    </chartFormat>
    <chartFormat chart="32" format="9">
      <pivotArea type="data" outline="0" fieldPosition="0">
        <references count="2">
          <reference field="4294967294" count="1" selected="0">
            <x v="0"/>
          </reference>
          <reference field="1" count="1" selected="0">
            <x v="1"/>
          </reference>
        </references>
      </pivotArea>
    </chartFormat>
    <chartFormat chart="32" format="10">
      <pivotArea type="data" outline="0" fieldPosition="0">
        <references count="2">
          <reference field="4294967294" count="1" selected="0">
            <x v="0"/>
          </reference>
          <reference field="1" count="1" selected="0">
            <x v="6"/>
          </reference>
        </references>
      </pivotArea>
    </chartFormat>
    <chartFormat chart="32" format="11">
      <pivotArea type="data" outline="0" fieldPosition="0">
        <references count="2">
          <reference field="4294967294" count="1" selected="0">
            <x v="0"/>
          </reference>
          <reference field="1" count="1" selected="0">
            <x v="3"/>
          </reference>
        </references>
      </pivotArea>
    </chartFormat>
    <chartFormat chart="32" format="12">
      <pivotArea type="data" outline="0" fieldPosition="0">
        <references count="2">
          <reference field="4294967294" count="1" selected="0">
            <x v="0"/>
          </reference>
          <reference field="1" count="1" selected="0">
            <x v="7"/>
          </reference>
        </references>
      </pivotArea>
    </chartFormat>
  </chartFormats>
  <pivotHierarchies count="32">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9DD6676-BCE9-4400-AAD0-B241DD644EDE}" name="PivotTable12" cacheId="15" applyNumberFormats="0" applyBorderFormats="0" applyFontFormats="0" applyPatternFormats="0" applyAlignmentFormats="0" applyWidthHeightFormats="1" dataCaption="Values" tag="fe73848b-42da-4c42-bbdc-5e4f3f48751b" updatedVersion="8" minRefreshableVersion="3" subtotalHiddenItems="1" itemPrintTitles="1" createdVersion="5" indent="0" outline="1" outlineData="1" multipleFieldFilters="0" chartFormat="31">
  <location ref="D50:D52" firstHeaderRow="1" firstDataRow="1" firstDataCol="1"/>
  <pivotFields count="4">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xis="axisRow" allDrilled="1" subtotalTop="0" showAll="0" dataSourceSort="1" defaultSubtotal="0" defaultAttributeDrillState="1">
      <items count="1">
        <item x="0"/>
      </items>
    </pivotField>
    <pivotField axis="axisRow" allDrilled="1" subtotalTop="0" showAll="0" dataSourceSort="1" defaultSubtotal="0" defaultAttributeDrillState="1">
      <items count="1">
        <item s="1" x="0" e="0"/>
      </items>
    </pivotField>
  </pivotFields>
  <rowFields count="4">
    <field x="3"/>
    <field x="2"/>
    <field x="0"/>
    <field x="1"/>
  </rowFields>
  <rowItems count="2">
    <i>
      <x/>
    </i>
    <i t="grand">
      <x/>
    </i>
  </rowItems>
  <formats count="2">
    <format dxfId="12">
      <pivotArea outline="0" collapsedLevelsAreSubtotals="1" fieldPosition="0"/>
    </format>
    <format dxfId="11">
      <pivotArea grandRow="1" outline="0" collapsedLevelsAreSubtotals="1" fieldPosition="0"/>
    </format>
  </formats>
  <pivotHierarchies count="32">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D4D577D-8C12-427D-A74E-5624961FF33E}" name="PivotTable9" cacheId="8" applyNumberFormats="0" applyBorderFormats="0" applyFontFormats="0" applyPatternFormats="0" applyAlignmentFormats="0" applyWidthHeightFormats="1" dataCaption="Values" tag="fe73848b-42da-4c42-bbdc-5e4f3f48751b" updatedVersion="8" minRefreshableVersion="3" subtotalHiddenItems="1" itemPrintTitles="1" createdVersion="5" indent="0" outline="1" outlineData="1" multipleFieldFilters="0" chartFormat="41">
  <location ref="H49:I5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Id" fld="2" subtotal="count" baseField="0" baseItem="0"/>
  </dataFields>
  <formats count="3">
    <format dxfId="15">
      <pivotArea outline="0" collapsedLevelsAreSubtotals="1" fieldPosition="0"/>
    </format>
    <format dxfId="14">
      <pivotArea grandRow="1" outline="0" collapsedLevelsAreSubtotals="1" fieldPosition="0"/>
    </format>
    <format dxfId="13">
      <pivotArea collapsedLevelsAreSubtotals="1" fieldPosition="0">
        <references count="1">
          <reference field="1" count="0"/>
        </references>
      </pivotArea>
    </format>
  </formats>
  <chartFormats count="10">
    <chartFormat chart="10" format="7" series="1">
      <pivotArea type="data" outline="0" fieldPosition="0">
        <references count="1">
          <reference field="4294967294" count="1" selected="0">
            <x v="0"/>
          </reference>
        </references>
      </pivotArea>
    </chartFormat>
    <chartFormat chart="10" format="8">
      <pivotArea type="data" outline="0" fieldPosition="0">
        <references count="2">
          <reference field="4294967294" count="1" selected="0">
            <x v="0"/>
          </reference>
          <reference field="1" count="1" selected="0">
            <x v="0"/>
          </reference>
        </references>
      </pivotArea>
    </chartFormat>
    <chartFormat chart="10" format="9">
      <pivotArea type="data" outline="0" fieldPosition="0">
        <references count="2">
          <reference field="4294967294" count="1" selected="0">
            <x v="0"/>
          </reference>
          <reference field="1" count="1" selected="0">
            <x v="1"/>
          </reference>
        </references>
      </pivotArea>
    </chartFormat>
    <chartFormat chart="28" format="0"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0"/>
          </reference>
        </references>
      </pivotArea>
    </chartFormat>
    <chartFormat chart="29" format="2">
      <pivotArea type="data" outline="0" fieldPosition="0">
        <references count="2">
          <reference field="4294967294" count="1" selected="0">
            <x v="0"/>
          </reference>
          <reference field="1" count="1" selected="0">
            <x v="0"/>
          </reference>
        </references>
      </pivotArea>
    </chartFormat>
    <chartFormat chart="29" format="3">
      <pivotArea type="data" outline="0" fieldPosition="0">
        <references count="2">
          <reference field="4294967294" count="1" selected="0">
            <x v="0"/>
          </reference>
          <reference field="1" count="1" selected="0">
            <x v="1"/>
          </reference>
        </references>
      </pivotArea>
    </chartFormat>
    <chartFormat chart="40" format="19" series="1">
      <pivotArea type="data" outline="0" fieldPosition="0">
        <references count="1">
          <reference field="4294967294" count="1" selected="0">
            <x v="0"/>
          </reference>
        </references>
      </pivotArea>
    </chartFormat>
    <chartFormat chart="40" format="20">
      <pivotArea type="data" outline="0" fieldPosition="0">
        <references count="2">
          <reference field="4294967294" count="1" selected="0">
            <x v="0"/>
          </reference>
          <reference field="1" count="1" selected="0">
            <x v="0"/>
          </reference>
        </references>
      </pivotArea>
    </chartFormat>
    <chartFormat chart="40" format="21">
      <pivotArea type="data" outline="0" fieldPosition="0">
        <references count="2">
          <reference field="4294967294" count="1" selected="0">
            <x v="0"/>
          </reference>
          <reference field="1" count="1" selected="0">
            <x v="1"/>
          </reference>
        </references>
      </pivotArea>
    </chartFormat>
  </chartFormats>
  <pivotHierarchies count="32">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A929198-22AB-4C02-A868-B0A00D735D84}" name="PivotTable10" cacheId="9" applyNumberFormats="0" applyBorderFormats="0" applyFontFormats="0" applyPatternFormats="0" applyAlignmentFormats="0" applyWidthHeightFormats="1" dataCaption="Values" tag="fe73848b-42da-4c42-bbdc-5e4f3f48751b" updatedVersion="8" minRefreshableVersion="3" subtotalHiddenItems="1" itemPrintTitles="1" createdVersion="5" indent="0" outline="1" outlineData="1" multipleFieldFilters="0" chartFormat="34">
  <location ref="K49:L52"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Gender" fld="1" subtotal="count" baseField="0" baseItem="0"/>
  </dataFields>
  <formats count="2">
    <format dxfId="17">
      <pivotArea outline="0" collapsedLevelsAreSubtotals="1" fieldPosition="0"/>
    </format>
    <format dxfId="16">
      <pivotArea grandRow="1" outline="0" collapsedLevelsAreSubtotals="1" fieldPosition="0"/>
    </format>
  </formats>
  <chartFormats count="3">
    <chartFormat chart="33" format="16" series="1">
      <pivotArea type="data" outline="0" fieldPosition="0">
        <references count="1">
          <reference field="4294967294" count="1" selected="0">
            <x v="0"/>
          </reference>
        </references>
      </pivotArea>
    </chartFormat>
    <chartFormat chart="33" format="17">
      <pivotArea type="data" outline="0" fieldPosition="0">
        <references count="2">
          <reference field="4294967294" count="1" selected="0">
            <x v="0"/>
          </reference>
          <reference field="2" count="1" selected="0">
            <x v="0"/>
          </reference>
        </references>
      </pivotArea>
    </chartFormat>
    <chartFormat chart="33" format="18">
      <pivotArea type="data" outline="0" fieldPosition="0">
        <references count="2">
          <reference field="4294967294" count="1" selected="0">
            <x v="0"/>
          </reference>
          <reference field="2" count="1" selected="0">
            <x v="1"/>
          </reference>
        </references>
      </pivotArea>
    </chartFormat>
  </chartFormats>
  <pivotHierarchies count="32">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DBE4437-D493-4D23-8691-9962ED4EE3E8}" name="PivotTable2" cacheId="2" applyNumberFormats="0" applyBorderFormats="0" applyFontFormats="0" applyPatternFormats="0" applyAlignmentFormats="0" applyWidthHeightFormats="1" dataCaption="Values" tag="5eebf4d7-941c-4993-8414-6dee772040bf" updatedVersion="8" minRefreshableVersion="3" useAutoFormatting="1" subtotalHiddenItems="1" itemPrintTitles="1" createdVersion="5" indent="0" outline="1" outlineData="1" multipleFieldFilters="0">
  <location ref="A7:A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8">
      <pivotArea outline="0" collapsedLevelsAreSubtotals="1" fieldPosition="0"/>
    </format>
  </formats>
  <pivotHierarchies count="32">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92DF2D7-9966-47F9-99FC-2468079BB08F}" name="PivotTable7" cacheId="6" applyNumberFormats="0" applyBorderFormats="0" applyFontFormats="0" applyPatternFormats="0" applyAlignmentFormats="0" applyWidthHeightFormats="1" dataCaption="Values" tag="fe73848b-42da-4c42-bbdc-5e4f3f48751b" updatedVersion="8" minRefreshableVersion="3" subtotalHiddenItems="1" itemPrintTitles="1" createdVersion="5" indent="0" outline="1" outlineData="1" multipleFieldFilters="0" chartFormat="12">
  <location ref="A38:C41"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4">
    <format dxfId="22">
      <pivotArea outline="0" collapsedLevelsAreSubtotals="1" fieldPosition="0"/>
    </format>
    <format dxfId="21">
      <pivotArea collapsedLevelsAreSubtotals="1" fieldPosition="0">
        <references count="1">
          <reference field="2" count="0"/>
        </references>
      </pivotArea>
    </format>
    <format dxfId="20">
      <pivotArea grandRow="1" outline="0" collapsedLevelsAreSubtotals="1" fieldPosition="0"/>
    </format>
    <format dxfId="19">
      <pivotArea outline="0" fieldPosition="0">
        <references count="1">
          <reference field="4294967294" count="1">
            <x v="1"/>
          </reference>
        </references>
      </pivotArea>
    </format>
  </formats>
  <chartFormats count="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pivotArea type="data" outline="0" fieldPosition="0">
        <references count="2">
          <reference field="4294967294" count="1" selected="0">
            <x v="1"/>
          </reference>
          <reference field="2" count="1" selected="0">
            <x v="0"/>
          </reference>
        </references>
      </pivotArea>
    </chartFormat>
    <chartFormat chart="6" format="3">
      <pivotArea type="data" outline="0" fieldPosition="0">
        <references count="2">
          <reference field="4294967294" count="1" selected="0">
            <x v="1"/>
          </reference>
          <reference field="2" count="1" selected="0">
            <x v="1"/>
          </reference>
        </references>
      </pivotArea>
    </chartFormat>
  </chartFormats>
  <pivotHierarchies count="33">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3FBD101-46B5-46BA-AF68-038473EA21D5}" name="PivotTable3" cacheId="3" applyNumberFormats="0" applyBorderFormats="0" applyFontFormats="0" applyPatternFormats="0" applyAlignmentFormats="0" applyWidthHeightFormats="1" dataCaption="Values" tag="fe73848b-42da-4c42-bbdc-5e4f3f48751b" updatedVersion="8" minRefreshableVersion="3" useAutoFormatting="1" subtotalHiddenItems="1"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23">
      <pivotArea outline="0" collapsedLevelsAreSubtotals="1" fieldPosition="0"/>
    </format>
  </formats>
  <pivotHierarchies count="32">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CE20FC2F-893B-47B2-B7FC-0E05E2F21989}" sourceName="[Calende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1276077820">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Ju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F81F309C-9FDE-4404-9EC5-2A954EED0FC8}" sourceName="[Calende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276077820">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61DB4C2F-F9EB-4715-A385-1058A24DE2E7}" cache="Slicer_Date__Month" caption="Date (Month)" showCaption="0" level="1" style="SlicerStyleDark2 2" rowHeight="356616"/>
  <slicer name="Date (Year)" xr10:uid="{6891DEE8-E95F-4229-8784-ECBF8619BE35}" cache="Slicer_Date__Year" caption="Date (Year)" columnCount="2" showCaption="0" level="1" style="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E1D4F-66E1-4D42-AC9D-30E8980256BC}">
  <dimension ref="A3:Q58"/>
  <sheetViews>
    <sheetView tabSelected="1" topLeftCell="B1" workbookViewId="0">
      <selection activeCell="K47" sqref="K47"/>
    </sheetView>
  </sheetViews>
  <sheetFormatPr defaultRowHeight="14.4" x14ac:dyDescent="0.3"/>
  <cols>
    <col min="1" max="1" width="32.44140625" bestFit="1" customWidth="1"/>
    <col min="2" max="2" width="28.109375" bestFit="1" customWidth="1"/>
    <col min="3" max="3" width="12.5546875" bestFit="1" customWidth="1"/>
    <col min="4" max="4" width="17" bestFit="1" customWidth="1"/>
    <col min="7" max="7" width="19.33203125" bestFit="1" customWidth="1"/>
    <col min="8" max="8" width="25" bestFit="1" customWidth="1"/>
    <col min="9" max="9" width="18.5546875" customWidth="1"/>
    <col min="10" max="10" width="18.21875" customWidth="1"/>
    <col min="11" max="12" width="29.21875" bestFit="1" customWidth="1"/>
  </cols>
  <sheetData>
    <row r="3" spans="1:11" x14ac:dyDescent="0.3">
      <c r="C3" t="s">
        <v>8</v>
      </c>
      <c r="G3" t="s">
        <v>7</v>
      </c>
      <c r="J3" t="s">
        <v>9</v>
      </c>
    </row>
    <row r="4" spans="1:11" x14ac:dyDescent="0.3">
      <c r="A4" t="s">
        <v>0</v>
      </c>
      <c r="C4" s="2" t="s">
        <v>3</v>
      </c>
      <c r="D4" t="s">
        <v>0</v>
      </c>
      <c r="G4" s="2" t="s">
        <v>3</v>
      </c>
      <c r="H4" t="s">
        <v>1</v>
      </c>
      <c r="J4" s="2" t="s">
        <v>3</v>
      </c>
      <c r="K4" t="s">
        <v>41</v>
      </c>
    </row>
    <row r="5" spans="1:11" x14ac:dyDescent="0.3">
      <c r="A5">
        <v>488</v>
      </c>
      <c r="C5" s="3" t="s">
        <v>42</v>
      </c>
      <c r="D5">
        <v>17</v>
      </c>
      <c r="G5" s="3" t="s">
        <v>42</v>
      </c>
      <c r="H5" s="1">
        <v>36.941176470588232</v>
      </c>
      <c r="J5" s="3" t="s">
        <v>42</v>
      </c>
      <c r="K5" s="1">
        <v>33</v>
      </c>
    </row>
    <row r="6" spans="1:11" x14ac:dyDescent="0.3">
      <c r="C6" s="3" t="s">
        <v>43</v>
      </c>
      <c r="D6">
        <v>19</v>
      </c>
      <c r="G6" s="3" t="s">
        <v>43</v>
      </c>
      <c r="H6" s="1">
        <v>30.842105263157894</v>
      </c>
      <c r="J6" s="3" t="s">
        <v>43</v>
      </c>
      <c r="K6" s="1">
        <v>16</v>
      </c>
    </row>
    <row r="7" spans="1:11" x14ac:dyDescent="0.3">
      <c r="A7" t="s">
        <v>1</v>
      </c>
      <c r="C7" s="3" t="s">
        <v>44</v>
      </c>
      <c r="D7">
        <v>12</v>
      </c>
      <c r="G7" s="3" t="s">
        <v>44</v>
      </c>
      <c r="H7" s="1">
        <v>31.833333333333332</v>
      </c>
      <c r="J7" s="3" t="s">
        <v>44</v>
      </c>
      <c r="K7" s="1">
        <v>19</v>
      </c>
    </row>
    <row r="8" spans="1:11" x14ac:dyDescent="0.3">
      <c r="A8" s="1">
        <v>35.19877049180328</v>
      </c>
      <c r="C8" s="3" t="s">
        <v>45</v>
      </c>
      <c r="D8">
        <v>9</v>
      </c>
      <c r="G8" s="3" t="s">
        <v>45</v>
      </c>
      <c r="H8" s="1">
        <v>33.777777777777779</v>
      </c>
      <c r="J8" s="3" t="s">
        <v>45</v>
      </c>
      <c r="K8" s="1">
        <v>8</v>
      </c>
    </row>
    <row r="9" spans="1:11" x14ac:dyDescent="0.3">
      <c r="C9" s="3" t="s">
        <v>46</v>
      </c>
      <c r="D9">
        <v>15</v>
      </c>
      <c r="G9" s="3" t="s">
        <v>46</v>
      </c>
      <c r="H9" s="1">
        <v>30.466666666666665</v>
      </c>
      <c r="J9" s="3" t="s">
        <v>46</v>
      </c>
      <c r="K9" s="1">
        <v>32</v>
      </c>
    </row>
    <row r="10" spans="1:11" x14ac:dyDescent="0.3">
      <c r="C10" s="3" t="s">
        <v>47</v>
      </c>
      <c r="D10">
        <v>10</v>
      </c>
      <c r="G10" s="3" t="s">
        <v>47</v>
      </c>
      <c r="H10" s="1">
        <v>38.799999999999997</v>
      </c>
      <c r="J10" s="3" t="s">
        <v>47</v>
      </c>
      <c r="K10" s="1">
        <v>7</v>
      </c>
    </row>
    <row r="11" spans="1:11" x14ac:dyDescent="0.3">
      <c r="A11" t="s">
        <v>2</v>
      </c>
      <c r="C11" s="3" t="s">
        <v>48</v>
      </c>
      <c r="D11">
        <v>18</v>
      </c>
      <c r="G11" s="3" t="s">
        <v>48</v>
      </c>
      <c r="H11" s="1">
        <v>30.277777777777779</v>
      </c>
      <c r="J11" s="3" t="s">
        <v>48</v>
      </c>
      <c r="K11" s="1">
        <v>14</v>
      </c>
    </row>
    <row r="12" spans="1:11" x14ac:dyDescent="0.3">
      <c r="A12" s="1">
        <v>4.7876712328767121</v>
      </c>
      <c r="C12" s="3" t="s">
        <v>49</v>
      </c>
      <c r="D12">
        <v>19</v>
      </c>
      <c r="G12" s="3" t="s">
        <v>49</v>
      </c>
      <c r="H12" s="1">
        <v>35.157894736842103</v>
      </c>
      <c r="J12" s="3" t="s">
        <v>49</v>
      </c>
      <c r="K12" s="1">
        <v>28</v>
      </c>
    </row>
    <row r="13" spans="1:11" x14ac:dyDescent="0.3">
      <c r="C13" s="3" t="s">
        <v>50</v>
      </c>
      <c r="D13">
        <v>19</v>
      </c>
      <c r="G13" s="3" t="s">
        <v>50</v>
      </c>
      <c r="H13" s="1">
        <v>37.94736842105263</v>
      </c>
      <c r="J13" s="3" t="s">
        <v>50</v>
      </c>
      <c r="K13" s="1">
        <v>32</v>
      </c>
    </row>
    <row r="14" spans="1:11" x14ac:dyDescent="0.3">
      <c r="C14" s="3" t="s">
        <v>51</v>
      </c>
      <c r="D14">
        <v>13</v>
      </c>
      <c r="G14" s="3" t="s">
        <v>51</v>
      </c>
      <c r="H14" s="1">
        <v>33.92307692307692</v>
      </c>
      <c r="J14" s="3" t="s">
        <v>51</v>
      </c>
      <c r="K14" s="1">
        <v>14</v>
      </c>
    </row>
    <row r="15" spans="1:11" x14ac:dyDescent="0.3">
      <c r="C15" s="3" t="s">
        <v>52</v>
      </c>
      <c r="D15">
        <v>15</v>
      </c>
      <c r="G15" s="3" t="s">
        <v>52</v>
      </c>
      <c r="H15" s="1">
        <v>33.200000000000003</v>
      </c>
      <c r="J15" s="3" t="s">
        <v>52</v>
      </c>
      <c r="K15" s="1">
        <v>39</v>
      </c>
    </row>
    <row r="16" spans="1:11" x14ac:dyDescent="0.3">
      <c r="C16" s="3" t="s">
        <v>53</v>
      </c>
      <c r="D16">
        <v>25</v>
      </c>
      <c r="G16" s="3" t="s">
        <v>53</v>
      </c>
      <c r="H16" s="1">
        <v>40.159999999999997</v>
      </c>
      <c r="J16" s="3" t="s">
        <v>53</v>
      </c>
      <c r="K16" s="1">
        <v>37</v>
      </c>
    </row>
    <row r="17" spans="3:11" x14ac:dyDescent="0.3">
      <c r="C17" s="3" t="s">
        <v>54</v>
      </c>
      <c r="D17">
        <v>19</v>
      </c>
      <c r="G17" s="3" t="s">
        <v>54</v>
      </c>
      <c r="H17" s="1">
        <v>41.578947368421055</v>
      </c>
      <c r="J17" s="3" t="s">
        <v>54</v>
      </c>
      <c r="K17" s="1">
        <v>13</v>
      </c>
    </row>
    <row r="18" spans="3:11" x14ac:dyDescent="0.3">
      <c r="C18" s="3" t="s">
        <v>55</v>
      </c>
      <c r="D18">
        <v>15</v>
      </c>
      <c r="G18" s="3" t="s">
        <v>55</v>
      </c>
      <c r="H18" s="1">
        <v>36.866666666666667</v>
      </c>
      <c r="J18" s="3" t="s">
        <v>55</v>
      </c>
      <c r="K18" s="1">
        <v>15</v>
      </c>
    </row>
    <row r="19" spans="3:11" x14ac:dyDescent="0.3">
      <c r="C19" s="3" t="s">
        <v>56</v>
      </c>
      <c r="D19">
        <v>14</v>
      </c>
      <c r="G19" s="3" t="s">
        <v>56</v>
      </c>
      <c r="H19" s="1">
        <v>33.714285714285715</v>
      </c>
      <c r="J19" s="3" t="s">
        <v>56</v>
      </c>
      <c r="K19" s="1">
        <v>13</v>
      </c>
    </row>
    <row r="20" spans="3:11" x14ac:dyDescent="0.3">
      <c r="C20" s="3" t="s">
        <v>57</v>
      </c>
      <c r="D20">
        <v>20</v>
      </c>
      <c r="G20" s="3" t="s">
        <v>57</v>
      </c>
      <c r="H20" s="1">
        <v>33.700000000000003</v>
      </c>
      <c r="J20" s="3" t="s">
        <v>57</v>
      </c>
      <c r="K20" s="1">
        <v>10</v>
      </c>
    </row>
    <row r="21" spans="3:11" x14ac:dyDescent="0.3">
      <c r="C21" s="3" t="s">
        <v>58</v>
      </c>
      <c r="D21">
        <v>14</v>
      </c>
      <c r="G21" s="3" t="s">
        <v>58</v>
      </c>
      <c r="H21" s="1">
        <v>34.642857142857146</v>
      </c>
      <c r="J21" s="3" t="s">
        <v>58</v>
      </c>
      <c r="K21" s="1">
        <v>18</v>
      </c>
    </row>
    <row r="22" spans="3:11" x14ac:dyDescent="0.3">
      <c r="C22" s="3" t="s">
        <v>59</v>
      </c>
      <c r="D22">
        <v>14</v>
      </c>
      <c r="G22" s="3" t="s">
        <v>59</v>
      </c>
      <c r="H22" s="1">
        <v>36.5</v>
      </c>
      <c r="J22" s="3" t="s">
        <v>59</v>
      </c>
      <c r="K22" s="1">
        <v>15</v>
      </c>
    </row>
    <row r="23" spans="3:11" x14ac:dyDescent="0.3">
      <c r="C23" s="3" t="s">
        <v>60</v>
      </c>
      <c r="D23">
        <v>17</v>
      </c>
      <c r="G23" s="3" t="s">
        <v>60</v>
      </c>
      <c r="H23" s="1">
        <v>33.058823529411768</v>
      </c>
      <c r="J23" s="3" t="s">
        <v>60</v>
      </c>
      <c r="K23" s="1">
        <v>25</v>
      </c>
    </row>
    <row r="24" spans="3:11" x14ac:dyDescent="0.3">
      <c r="C24" s="3" t="s">
        <v>61</v>
      </c>
      <c r="D24">
        <v>16</v>
      </c>
      <c r="G24" s="3" t="s">
        <v>61</v>
      </c>
      <c r="H24" s="1">
        <v>33.5625</v>
      </c>
      <c r="J24" s="3" t="s">
        <v>61</v>
      </c>
      <c r="K24" s="1">
        <v>30</v>
      </c>
    </row>
    <row r="25" spans="3:11" x14ac:dyDescent="0.3">
      <c r="C25" s="3" t="s">
        <v>62</v>
      </c>
      <c r="D25">
        <v>18</v>
      </c>
      <c r="G25" s="3" t="s">
        <v>62</v>
      </c>
      <c r="H25" s="1">
        <v>31.555555555555557</v>
      </c>
      <c r="J25" s="3" t="s">
        <v>62</v>
      </c>
      <c r="K25" s="1">
        <v>14</v>
      </c>
    </row>
    <row r="26" spans="3:11" x14ac:dyDescent="0.3">
      <c r="C26" s="3" t="s">
        <v>63</v>
      </c>
      <c r="D26">
        <v>8</v>
      </c>
      <c r="G26" s="3" t="s">
        <v>63</v>
      </c>
      <c r="H26" s="1">
        <v>38.375</v>
      </c>
      <c r="J26" s="3" t="s">
        <v>63</v>
      </c>
      <c r="K26" s="1">
        <v>15</v>
      </c>
    </row>
    <row r="27" spans="3:11" x14ac:dyDescent="0.3">
      <c r="C27" s="3" t="s">
        <v>64</v>
      </c>
      <c r="D27">
        <v>17</v>
      </c>
      <c r="G27" s="3" t="s">
        <v>64</v>
      </c>
      <c r="H27" s="1">
        <v>35.411764705882355</v>
      </c>
      <c r="J27" s="3" t="s">
        <v>64</v>
      </c>
      <c r="K27" s="1">
        <v>13</v>
      </c>
    </row>
    <row r="28" spans="3:11" x14ac:dyDescent="0.3">
      <c r="C28" s="3" t="s">
        <v>65</v>
      </c>
      <c r="D28">
        <v>11</v>
      </c>
      <c r="G28" s="3" t="s">
        <v>65</v>
      </c>
      <c r="H28" s="1">
        <v>34.909090909090907</v>
      </c>
      <c r="J28" s="3" t="s">
        <v>65</v>
      </c>
      <c r="K28" s="1">
        <v>14</v>
      </c>
    </row>
    <row r="29" spans="3:11" x14ac:dyDescent="0.3">
      <c r="C29" s="3" t="s">
        <v>66</v>
      </c>
      <c r="D29">
        <v>15</v>
      </c>
      <c r="G29" s="3" t="s">
        <v>66</v>
      </c>
      <c r="H29" s="1">
        <v>35.133333333333333</v>
      </c>
      <c r="J29" s="3" t="s">
        <v>66</v>
      </c>
      <c r="K29" s="1">
        <v>18</v>
      </c>
    </row>
    <row r="30" spans="3:11" x14ac:dyDescent="0.3">
      <c r="C30" s="3" t="s">
        <v>67</v>
      </c>
      <c r="D30">
        <v>13</v>
      </c>
      <c r="G30" s="3" t="s">
        <v>67</v>
      </c>
      <c r="H30" s="1">
        <v>35.07692307692308</v>
      </c>
      <c r="J30" s="3" t="s">
        <v>67</v>
      </c>
      <c r="K30" s="1">
        <v>6</v>
      </c>
    </row>
    <row r="31" spans="3:11" x14ac:dyDescent="0.3">
      <c r="C31" s="3" t="s">
        <v>68</v>
      </c>
      <c r="D31">
        <v>17</v>
      </c>
      <c r="G31" s="3" t="s">
        <v>68</v>
      </c>
      <c r="H31" s="1">
        <v>35.352941176470587</v>
      </c>
      <c r="J31" s="3" t="s">
        <v>68</v>
      </c>
      <c r="K31" s="1">
        <v>62</v>
      </c>
    </row>
    <row r="32" spans="3:11" x14ac:dyDescent="0.3">
      <c r="C32" s="3" t="s">
        <v>69</v>
      </c>
      <c r="D32">
        <v>20</v>
      </c>
      <c r="G32" s="3" t="s">
        <v>69</v>
      </c>
      <c r="H32" s="1">
        <v>36.6</v>
      </c>
      <c r="J32" s="3" t="s">
        <v>69</v>
      </c>
      <c r="K32" s="1">
        <v>46</v>
      </c>
    </row>
    <row r="33" spans="1:11" x14ac:dyDescent="0.3">
      <c r="C33" s="3" t="s">
        <v>70</v>
      </c>
      <c r="D33">
        <v>20</v>
      </c>
      <c r="G33" s="3" t="s">
        <v>70</v>
      </c>
      <c r="H33" s="1">
        <v>35.799999999999997</v>
      </c>
      <c r="J33" s="3" t="s">
        <v>70</v>
      </c>
      <c r="K33" s="1">
        <v>41</v>
      </c>
    </row>
    <row r="34" spans="1:11" x14ac:dyDescent="0.3">
      <c r="C34" s="3" t="s">
        <v>71</v>
      </c>
      <c r="D34">
        <v>13</v>
      </c>
      <c r="G34" s="3" t="s">
        <v>71</v>
      </c>
      <c r="H34" s="1">
        <v>30.307692307692307</v>
      </c>
      <c r="J34" s="3" t="s">
        <v>71</v>
      </c>
      <c r="K34" s="1">
        <v>25</v>
      </c>
    </row>
    <row r="35" spans="1:11" x14ac:dyDescent="0.3">
      <c r="C35" s="3" t="s">
        <v>72</v>
      </c>
      <c r="D35">
        <v>16</v>
      </c>
      <c r="G35" s="3" t="s">
        <v>72</v>
      </c>
      <c r="H35" s="1">
        <v>42.75</v>
      </c>
      <c r="J35" s="3" t="s">
        <v>72</v>
      </c>
      <c r="K35" s="1">
        <v>27</v>
      </c>
    </row>
    <row r="36" spans="1:11" x14ac:dyDescent="0.3">
      <c r="C36" s="3" t="s">
        <v>4</v>
      </c>
      <c r="D36">
        <v>488</v>
      </c>
      <c r="G36" s="3" t="s">
        <v>4</v>
      </c>
      <c r="H36" s="1">
        <v>35.19877049180328</v>
      </c>
      <c r="J36" s="3" t="s">
        <v>4</v>
      </c>
      <c r="K36" s="1">
        <v>699</v>
      </c>
    </row>
    <row r="38" spans="1:11" x14ac:dyDescent="0.3">
      <c r="A38" s="2" t="s">
        <v>3</v>
      </c>
      <c r="B38" t="s">
        <v>10</v>
      </c>
      <c r="C38" t="s">
        <v>11</v>
      </c>
    </row>
    <row r="39" spans="1:11" ht="20.399999999999999" customHeight="1" x14ac:dyDescent="0.35">
      <c r="A39" s="3" t="s">
        <v>6</v>
      </c>
      <c r="B39" s="4">
        <v>266</v>
      </c>
      <c r="C39" s="5">
        <v>0.54508196721311475</v>
      </c>
      <c r="G39" s="12" t="s">
        <v>12</v>
      </c>
      <c r="H39" s="12" t="s">
        <v>38</v>
      </c>
      <c r="I39" s="12" t="s">
        <v>39</v>
      </c>
      <c r="J39" s="12" t="s">
        <v>40</v>
      </c>
    </row>
    <row r="40" spans="1:11" ht="19.8" customHeight="1" x14ac:dyDescent="0.35">
      <c r="A40" s="3" t="s">
        <v>5</v>
      </c>
      <c r="B40" s="4">
        <v>222</v>
      </c>
      <c r="C40" s="5">
        <v>0.45491803278688525</v>
      </c>
      <c r="G40" s="12" t="str">
        <f>A40</f>
        <v>Not Admitted</v>
      </c>
      <c r="H40" s="13">
        <v>242</v>
      </c>
      <c r="I40" s="14">
        <v>0.50521920668058451</v>
      </c>
      <c r="J40" s="15"/>
    </row>
    <row r="41" spans="1:11" ht="20.399999999999999" customHeight="1" x14ac:dyDescent="0.35">
      <c r="A41" s="3" t="s">
        <v>4</v>
      </c>
      <c r="B41" s="4">
        <v>488</v>
      </c>
      <c r="C41" s="5">
        <v>1</v>
      </c>
      <c r="G41" s="16" t="s">
        <v>6</v>
      </c>
      <c r="H41" s="17">
        <v>237</v>
      </c>
      <c r="I41" s="18">
        <v>0.49478079331941544</v>
      </c>
      <c r="J41" s="19"/>
      <c r="K41" s="20"/>
    </row>
    <row r="44" spans="1:11" x14ac:dyDescent="0.3">
      <c r="A44" s="9"/>
      <c r="B44" s="9"/>
      <c r="C44" s="10"/>
      <c r="D44" s="9"/>
    </row>
    <row r="45" spans="1:11" x14ac:dyDescent="0.3">
      <c r="A45" s="7"/>
      <c r="B45" s="7"/>
      <c r="D45" s="7"/>
    </row>
    <row r="46" spans="1:11" x14ac:dyDescent="0.3">
      <c r="A46" s="7"/>
      <c r="B46" s="7"/>
      <c r="C46" s="6"/>
      <c r="D46" s="7"/>
    </row>
    <row r="48" spans="1:11" x14ac:dyDescent="0.3">
      <c r="A48" t="s">
        <v>33</v>
      </c>
    </row>
    <row r="49" spans="1:17" x14ac:dyDescent="0.3">
      <c r="A49" s="2" t="s">
        <v>3</v>
      </c>
      <c r="B49" t="s">
        <v>21</v>
      </c>
      <c r="H49" s="2" t="s">
        <v>3</v>
      </c>
      <c r="I49" t="s">
        <v>0</v>
      </c>
      <c r="K49" s="2" t="s">
        <v>3</v>
      </c>
      <c r="L49" t="s">
        <v>34</v>
      </c>
      <c r="P49" s="2" t="s">
        <v>3</v>
      </c>
      <c r="Q49" t="s">
        <v>36</v>
      </c>
    </row>
    <row r="50" spans="1:17" x14ac:dyDescent="0.3">
      <c r="A50" s="3" t="s">
        <v>13</v>
      </c>
      <c r="B50" s="4">
        <v>384</v>
      </c>
      <c r="D50" s="2" t="s">
        <v>3</v>
      </c>
      <c r="H50" s="3" t="s">
        <v>24</v>
      </c>
      <c r="I50" s="4">
        <v>288</v>
      </c>
      <c r="K50" s="3" t="s">
        <v>25</v>
      </c>
      <c r="L50" s="1">
        <v>232</v>
      </c>
      <c r="P50" s="3" t="s">
        <v>31</v>
      </c>
      <c r="Q50" s="1">
        <v>4</v>
      </c>
    </row>
    <row r="51" spans="1:17" x14ac:dyDescent="0.3">
      <c r="A51" s="3" t="s">
        <v>14</v>
      </c>
      <c r="B51" s="4">
        <v>1122</v>
      </c>
      <c r="D51" s="3" t="s">
        <v>37</v>
      </c>
      <c r="H51" s="3" t="s">
        <v>26</v>
      </c>
      <c r="I51" s="4">
        <v>200</v>
      </c>
      <c r="K51" s="3" t="s">
        <v>22</v>
      </c>
      <c r="L51" s="1">
        <v>256</v>
      </c>
      <c r="P51" s="3" t="s">
        <v>35</v>
      </c>
      <c r="Q51" s="1">
        <v>7</v>
      </c>
    </row>
    <row r="52" spans="1:17" x14ac:dyDescent="0.3">
      <c r="A52" s="3" t="s">
        <v>15</v>
      </c>
      <c r="B52" s="4">
        <v>1266</v>
      </c>
      <c r="D52" s="3" t="s">
        <v>4</v>
      </c>
      <c r="H52" s="3" t="s">
        <v>4</v>
      </c>
      <c r="I52" s="4">
        <v>488</v>
      </c>
      <c r="K52" s="3" t="s">
        <v>4</v>
      </c>
      <c r="L52" s="4">
        <v>488</v>
      </c>
      <c r="P52" s="3" t="s">
        <v>32</v>
      </c>
      <c r="Q52" s="1">
        <v>11</v>
      </c>
    </row>
    <row r="53" spans="1:17" x14ac:dyDescent="0.3">
      <c r="A53" s="3" t="s">
        <v>16</v>
      </c>
      <c r="B53" s="4">
        <v>1548</v>
      </c>
      <c r="P53" s="3" t="s">
        <v>30</v>
      </c>
      <c r="Q53" s="1">
        <v>11</v>
      </c>
    </row>
    <row r="54" spans="1:17" x14ac:dyDescent="0.3">
      <c r="A54" s="3" t="s">
        <v>17</v>
      </c>
      <c r="B54" s="4">
        <v>3303</v>
      </c>
      <c r="P54" s="3" t="s">
        <v>29</v>
      </c>
      <c r="Q54" s="1">
        <v>12</v>
      </c>
    </row>
    <row r="55" spans="1:17" x14ac:dyDescent="0.3">
      <c r="A55" s="3" t="s">
        <v>18</v>
      </c>
      <c r="B55" s="4">
        <v>3961</v>
      </c>
      <c r="P55" s="3" t="s">
        <v>28</v>
      </c>
      <c r="Q55" s="1">
        <v>60</v>
      </c>
    </row>
    <row r="56" spans="1:17" x14ac:dyDescent="0.3">
      <c r="A56" s="3" t="s">
        <v>19</v>
      </c>
      <c r="B56" s="4">
        <v>3843</v>
      </c>
      <c r="P56" s="3" t="s">
        <v>27</v>
      </c>
      <c r="Q56" s="1">
        <v>93</v>
      </c>
    </row>
    <row r="57" spans="1:17" x14ac:dyDescent="0.3">
      <c r="A57" s="3" t="s">
        <v>20</v>
      </c>
      <c r="B57" s="4">
        <v>4341</v>
      </c>
      <c r="P57" s="3" t="s">
        <v>23</v>
      </c>
      <c r="Q57" s="1">
        <v>290</v>
      </c>
    </row>
    <row r="58" spans="1:17" x14ac:dyDescent="0.3">
      <c r="A58" s="3" t="s">
        <v>4</v>
      </c>
      <c r="B58" s="4">
        <v>19768</v>
      </c>
      <c r="P58" s="3" t="s">
        <v>4</v>
      </c>
      <c r="Q58" s="4">
        <v>488</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A4AF2-4D5B-466D-9634-B07FFF8391E1}">
  <dimension ref="A1:U37"/>
  <sheetViews>
    <sheetView zoomScaleNormal="100" workbookViewId="0">
      <selection activeCell="W39" sqref="W39"/>
    </sheetView>
  </sheetViews>
  <sheetFormatPr defaultRowHeight="14.4" x14ac:dyDescent="0.3"/>
  <sheetData>
    <row r="1" spans="1:21" x14ac:dyDescent="0.3">
      <c r="A1" s="8"/>
      <c r="B1" s="8"/>
      <c r="C1" s="8"/>
      <c r="D1" s="8"/>
      <c r="E1" s="8"/>
      <c r="F1" s="8"/>
      <c r="G1" s="8"/>
      <c r="H1" s="8"/>
      <c r="I1" s="8"/>
      <c r="J1" s="8"/>
      <c r="K1" s="8"/>
      <c r="L1" s="8"/>
      <c r="M1" s="8"/>
      <c r="N1" s="8"/>
      <c r="O1" s="8"/>
      <c r="P1" s="8"/>
      <c r="Q1" s="8"/>
      <c r="R1" s="8"/>
      <c r="S1" s="8"/>
      <c r="T1" s="8"/>
      <c r="U1" s="8"/>
    </row>
    <row r="2" spans="1:21" x14ac:dyDescent="0.3">
      <c r="A2" s="8"/>
      <c r="B2" s="8"/>
      <c r="C2" s="8"/>
      <c r="D2" s="8"/>
      <c r="E2" s="8"/>
      <c r="F2" s="8"/>
      <c r="G2" s="8"/>
      <c r="H2" s="8"/>
      <c r="I2" s="8"/>
      <c r="J2" s="8"/>
      <c r="K2" s="8"/>
      <c r="L2" s="8"/>
      <c r="M2" s="8"/>
      <c r="N2" s="8"/>
      <c r="O2" s="8"/>
      <c r="P2" s="8"/>
      <c r="Q2" s="8"/>
      <c r="R2" s="8"/>
      <c r="S2" s="8"/>
      <c r="T2" s="8"/>
      <c r="U2" s="8"/>
    </row>
    <row r="3" spans="1:21" x14ac:dyDescent="0.3">
      <c r="A3" s="8"/>
      <c r="B3" s="8"/>
      <c r="C3" s="8"/>
      <c r="D3" s="8"/>
      <c r="E3" s="8"/>
      <c r="F3" s="8"/>
      <c r="G3" s="8"/>
      <c r="H3" s="8"/>
      <c r="I3" s="8"/>
      <c r="J3" s="8"/>
      <c r="K3" s="8"/>
      <c r="L3" s="8"/>
      <c r="M3" s="8"/>
      <c r="N3" s="8"/>
      <c r="O3" s="8"/>
      <c r="P3" s="8"/>
      <c r="Q3" s="8"/>
      <c r="R3" s="8"/>
      <c r="S3" s="8"/>
      <c r="T3" s="8"/>
      <c r="U3" s="8"/>
    </row>
    <row r="4" spans="1:21" x14ac:dyDescent="0.3">
      <c r="A4" s="8"/>
      <c r="B4" s="8"/>
      <c r="C4" s="8"/>
      <c r="D4" s="8"/>
      <c r="E4" s="8"/>
      <c r="F4" s="8"/>
      <c r="G4" s="8"/>
      <c r="H4" s="8"/>
      <c r="I4" s="8"/>
      <c r="J4" s="8"/>
      <c r="K4" s="8"/>
      <c r="L4" s="8"/>
      <c r="M4" s="8"/>
      <c r="N4" s="8"/>
      <c r="O4" s="8"/>
      <c r="P4" s="8"/>
      <c r="Q4" s="8"/>
      <c r="R4" s="8"/>
      <c r="S4" s="8"/>
      <c r="T4" s="8"/>
      <c r="U4" s="8"/>
    </row>
    <row r="5" spans="1:21" x14ac:dyDescent="0.3">
      <c r="A5" s="8"/>
      <c r="B5" s="8"/>
      <c r="C5" s="8"/>
      <c r="D5" s="8"/>
      <c r="E5" s="8"/>
      <c r="F5" s="8"/>
      <c r="G5" s="8"/>
      <c r="H5" s="8"/>
      <c r="I5" s="8"/>
      <c r="J5" s="8"/>
      <c r="K5" s="8"/>
      <c r="L5" s="8"/>
      <c r="M5" s="8"/>
      <c r="N5" s="8"/>
      <c r="O5" s="8"/>
      <c r="P5" s="8"/>
      <c r="Q5" s="8"/>
      <c r="R5" s="8"/>
      <c r="S5" s="8"/>
      <c r="T5" s="8"/>
      <c r="U5" s="8"/>
    </row>
    <row r="6" spans="1:21" x14ac:dyDescent="0.3">
      <c r="A6" s="8"/>
      <c r="B6" s="8"/>
      <c r="C6" s="8"/>
      <c r="D6" s="8"/>
      <c r="E6" s="8"/>
      <c r="F6" s="8"/>
      <c r="G6" s="8"/>
      <c r="H6" s="8"/>
      <c r="I6" s="8"/>
      <c r="J6" s="8"/>
      <c r="K6" s="8"/>
      <c r="L6" s="8"/>
      <c r="M6" s="8"/>
      <c r="N6" s="8"/>
      <c r="O6" s="8"/>
      <c r="P6" s="8"/>
      <c r="Q6" s="8"/>
      <c r="R6" s="8"/>
      <c r="S6" s="8"/>
      <c r="T6" s="8"/>
      <c r="U6" s="8"/>
    </row>
    <row r="7" spans="1:21" x14ac:dyDescent="0.3">
      <c r="A7" s="8"/>
      <c r="B7" s="8"/>
      <c r="C7" s="8"/>
      <c r="D7" s="8"/>
      <c r="E7" s="8"/>
      <c r="F7" s="8"/>
      <c r="G7" s="8"/>
      <c r="H7" s="8"/>
      <c r="I7" s="8"/>
      <c r="J7" s="8"/>
      <c r="K7" s="8"/>
      <c r="L7" s="8"/>
      <c r="M7" s="8"/>
      <c r="N7" s="8"/>
      <c r="O7" s="8"/>
      <c r="P7" s="8"/>
      <c r="Q7" s="8"/>
      <c r="R7" s="8"/>
      <c r="S7" s="8"/>
      <c r="T7" s="8"/>
      <c r="U7" s="8"/>
    </row>
    <row r="8" spans="1:21" x14ac:dyDescent="0.3">
      <c r="A8" s="8"/>
      <c r="B8" s="8"/>
      <c r="C8" s="8"/>
      <c r="D8" s="8"/>
      <c r="E8" s="8"/>
      <c r="F8" s="8"/>
      <c r="G8" s="8"/>
      <c r="H8" s="8"/>
      <c r="I8" s="8"/>
      <c r="J8" s="8"/>
      <c r="K8" s="8"/>
      <c r="L8" s="8"/>
      <c r="M8" s="8"/>
      <c r="N8" s="8"/>
      <c r="O8" s="8"/>
      <c r="P8" s="8"/>
      <c r="Q8" s="8"/>
      <c r="R8" s="8"/>
      <c r="S8" s="8"/>
      <c r="T8" s="8"/>
      <c r="U8" s="8"/>
    </row>
    <row r="9" spans="1:21" x14ac:dyDescent="0.3">
      <c r="A9" s="8"/>
      <c r="B9" s="8"/>
      <c r="C9" s="8"/>
      <c r="D9" s="8"/>
      <c r="E9" s="8"/>
      <c r="F9" s="8"/>
      <c r="G9" s="8"/>
      <c r="H9" s="8"/>
      <c r="I9" s="8"/>
      <c r="J9" s="8"/>
      <c r="K9" s="8"/>
      <c r="L9" s="8"/>
      <c r="M9" s="8"/>
      <c r="N9" s="8"/>
      <c r="O9" s="8"/>
      <c r="P9" s="8"/>
      <c r="Q9" s="8"/>
      <c r="R9" s="8"/>
      <c r="S9" s="8"/>
      <c r="T9" s="8"/>
      <c r="U9" s="8"/>
    </row>
    <row r="10" spans="1:21" x14ac:dyDescent="0.3">
      <c r="A10" s="8"/>
      <c r="B10" s="8"/>
      <c r="C10" s="8"/>
      <c r="D10" s="8"/>
      <c r="E10" s="8"/>
      <c r="F10" s="8"/>
      <c r="G10" s="8"/>
      <c r="H10" s="8"/>
      <c r="I10" s="8"/>
      <c r="J10" s="8"/>
      <c r="K10" s="8"/>
      <c r="L10" s="8"/>
      <c r="M10" s="8"/>
      <c r="N10" s="8"/>
      <c r="O10" s="8"/>
      <c r="P10" s="8"/>
      <c r="Q10" s="8"/>
      <c r="R10" s="8"/>
      <c r="S10" s="8"/>
      <c r="T10" s="8"/>
      <c r="U10" s="8"/>
    </row>
    <row r="11" spans="1:21" x14ac:dyDescent="0.3">
      <c r="A11" s="8"/>
      <c r="B11" s="8"/>
      <c r="C11" s="8"/>
      <c r="D11" s="8"/>
      <c r="E11" s="8"/>
      <c r="F11" s="8"/>
      <c r="G11" s="8"/>
      <c r="H11" s="8"/>
      <c r="I11" s="8"/>
      <c r="J11" s="8"/>
      <c r="K11" s="8"/>
      <c r="L11" s="8"/>
      <c r="M11" s="8"/>
      <c r="N11" s="8"/>
      <c r="O11" s="8"/>
      <c r="P11" s="8"/>
      <c r="Q11" s="8"/>
      <c r="R11" s="8"/>
      <c r="S11" s="8"/>
      <c r="T11" s="8"/>
      <c r="U11" s="8"/>
    </row>
    <row r="12" spans="1:21" x14ac:dyDescent="0.3">
      <c r="A12" s="8"/>
      <c r="B12" s="8"/>
      <c r="C12" s="8"/>
      <c r="D12" s="8"/>
      <c r="E12" s="8"/>
      <c r="F12" s="8"/>
      <c r="G12" s="8"/>
      <c r="H12" s="8"/>
      <c r="I12" s="8"/>
      <c r="J12" s="8"/>
      <c r="K12" s="8"/>
      <c r="L12" s="8"/>
      <c r="M12" s="8"/>
      <c r="N12" s="8"/>
      <c r="O12" s="8"/>
      <c r="P12" s="8"/>
      <c r="Q12" s="8"/>
      <c r="R12" s="8"/>
      <c r="S12" s="8"/>
      <c r="T12" s="8"/>
      <c r="U12" s="8"/>
    </row>
    <row r="13" spans="1:21" x14ac:dyDescent="0.3">
      <c r="A13" s="8"/>
      <c r="B13" s="8"/>
      <c r="C13" s="8"/>
      <c r="D13" s="8"/>
      <c r="E13" s="8"/>
      <c r="F13" s="8"/>
      <c r="G13" s="8"/>
      <c r="H13" s="8"/>
      <c r="I13" s="8"/>
      <c r="J13" s="8"/>
      <c r="K13" s="8"/>
      <c r="L13" s="8"/>
      <c r="M13" s="8"/>
      <c r="N13" s="8"/>
      <c r="O13" s="8"/>
      <c r="P13" s="8"/>
      <c r="Q13" s="8"/>
      <c r="R13" s="8"/>
      <c r="S13" s="8"/>
      <c r="T13" s="8"/>
      <c r="U13" s="8"/>
    </row>
    <row r="14" spans="1:21" x14ac:dyDescent="0.3">
      <c r="A14" s="8"/>
      <c r="B14" s="8"/>
      <c r="C14" s="8"/>
      <c r="D14" s="8"/>
      <c r="E14" s="8"/>
      <c r="F14" s="8"/>
      <c r="G14" s="8"/>
      <c r="H14" s="8"/>
      <c r="I14" s="8"/>
      <c r="J14" s="8"/>
      <c r="K14" s="8"/>
      <c r="L14" s="8"/>
      <c r="M14" s="8"/>
      <c r="N14" s="8"/>
      <c r="O14" s="8"/>
      <c r="P14" s="8"/>
      <c r="Q14" s="8"/>
      <c r="R14" s="8"/>
      <c r="S14" s="8"/>
      <c r="T14" s="8"/>
      <c r="U14" s="8"/>
    </row>
    <row r="15" spans="1:21" x14ac:dyDescent="0.3">
      <c r="A15" s="8"/>
      <c r="B15" s="8"/>
      <c r="C15" s="8"/>
      <c r="D15" s="8"/>
      <c r="E15" s="8"/>
      <c r="F15" s="8"/>
      <c r="G15" s="8"/>
      <c r="H15" s="8"/>
      <c r="I15" s="8"/>
      <c r="J15" s="8"/>
      <c r="K15" s="8"/>
      <c r="L15" s="8"/>
      <c r="M15" s="8"/>
      <c r="N15" s="8"/>
      <c r="O15" s="8"/>
      <c r="P15" s="8"/>
      <c r="Q15" s="8"/>
      <c r="R15" s="8"/>
      <c r="S15" s="8"/>
      <c r="T15" s="8"/>
      <c r="U15" s="8"/>
    </row>
    <row r="16" spans="1:21" x14ac:dyDescent="0.3">
      <c r="A16" s="8"/>
      <c r="B16" s="8"/>
      <c r="C16" s="8"/>
      <c r="D16" s="8"/>
      <c r="E16" s="8"/>
      <c r="F16" s="8"/>
      <c r="G16" s="8"/>
      <c r="H16" s="8"/>
      <c r="I16" s="8"/>
      <c r="J16" s="8"/>
      <c r="K16" s="8"/>
      <c r="L16" s="8"/>
      <c r="M16" s="8"/>
      <c r="N16" s="8"/>
      <c r="O16" s="8"/>
      <c r="P16" s="8"/>
      <c r="Q16" s="8"/>
      <c r="R16" s="8"/>
      <c r="S16" s="8"/>
      <c r="T16" s="8"/>
      <c r="U16" s="8"/>
    </row>
    <row r="17" spans="1:21" x14ac:dyDescent="0.3">
      <c r="A17" s="8"/>
      <c r="B17" s="8"/>
      <c r="C17" s="8"/>
      <c r="D17" s="8"/>
      <c r="E17" s="8"/>
      <c r="F17" s="8"/>
      <c r="G17" s="8"/>
      <c r="H17" s="8"/>
      <c r="I17" s="8"/>
      <c r="J17" s="8"/>
      <c r="K17" s="8"/>
      <c r="L17" s="8"/>
      <c r="M17" s="8"/>
      <c r="N17" s="8"/>
      <c r="O17" s="8"/>
      <c r="P17" s="8"/>
      <c r="Q17" s="8"/>
      <c r="R17" s="8"/>
      <c r="S17" s="8"/>
      <c r="T17" s="8"/>
      <c r="U17" s="8"/>
    </row>
    <row r="18" spans="1:21" x14ac:dyDescent="0.3">
      <c r="A18" s="8"/>
      <c r="B18" s="8"/>
      <c r="C18" s="8"/>
      <c r="D18" s="8"/>
      <c r="E18" s="8"/>
      <c r="F18" s="8"/>
      <c r="G18" s="8"/>
      <c r="H18" s="8"/>
      <c r="I18" s="8"/>
      <c r="J18" s="8"/>
      <c r="K18" s="8"/>
      <c r="L18" s="8"/>
      <c r="M18" s="8"/>
      <c r="N18" s="8"/>
      <c r="O18" s="8"/>
      <c r="P18" s="8"/>
      <c r="Q18" s="8"/>
      <c r="R18" s="8"/>
      <c r="S18" s="8"/>
      <c r="T18" s="8"/>
      <c r="U18" s="8"/>
    </row>
    <row r="19" spans="1:21" x14ac:dyDescent="0.3">
      <c r="A19" s="8"/>
      <c r="B19" s="8"/>
      <c r="C19" s="8"/>
      <c r="D19" s="8"/>
      <c r="E19" s="8"/>
      <c r="F19" s="8"/>
      <c r="G19" s="8"/>
      <c r="H19" s="8"/>
      <c r="I19" s="8"/>
      <c r="J19" s="8"/>
      <c r="K19" s="8"/>
      <c r="L19" s="8"/>
      <c r="M19" s="8"/>
      <c r="N19" s="8"/>
      <c r="O19" s="8"/>
      <c r="P19" s="8"/>
      <c r="Q19" s="8"/>
      <c r="R19" s="8"/>
      <c r="S19" s="8"/>
      <c r="T19" s="8"/>
      <c r="U19" s="8"/>
    </row>
    <row r="20" spans="1:21" x14ac:dyDescent="0.3">
      <c r="A20" s="8"/>
      <c r="B20" s="8"/>
      <c r="C20" s="8"/>
      <c r="D20" s="8"/>
      <c r="E20" s="8"/>
      <c r="F20" s="8"/>
      <c r="G20" s="8"/>
      <c r="H20" s="8"/>
      <c r="I20" s="8"/>
      <c r="J20" s="8"/>
      <c r="K20" s="8"/>
      <c r="L20" s="8"/>
      <c r="M20" s="8"/>
      <c r="N20" s="8"/>
      <c r="O20" s="8"/>
      <c r="P20" s="8"/>
      <c r="Q20" s="8"/>
      <c r="R20" s="8"/>
      <c r="S20" s="8"/>
      <c r="T20" s="8"/>
      <c r="U20" s="8"/>
    </row>
    <row r="21" spans="1:21" x14ac:dyDescent="0.3">
      <c r="A21" s="8"/>
      <c r="B21" s="8"/>
      <c r="C21" s="8"/>
      <c r="D21" s="8"/>
      <c r="E21" s="8"/>
      <c r="F21" s="8"/>
      <c r="G21" s="8"/>
      <c r="H21" s="8"/>
      <c r="I21" s="8"/>
      <c r="J21" s="8"/>
      <c r="K21" s="8"/>
      <c r="L21" s="8"/>
      <c r="M21" s="8"/>
      <c r="N21" s="8"/>
      <c r="O21" s="8"/>
      <c r="P21" s="8"/>
      <c r="Q21" s="8"/>
      <c r="R21" s="8"/>
      <c r="S21" s="8"/>
      <c r="T21" s="8"/>
      <c r="U21" s="8"/>
    </row>
    <row r="22" spans="1:21" x14ac:dyDescent="0.3">
      <c r="A22" s="8"/>
      <c r="B22" s="8"/>
      <c r="C22" s="8"/>
      <c r="D22" s="8"/>
      <c r="E22" s="8"/>
      <c r="F22" s="8"/>
      <c r="G22" s="8"/>
      <c r="H22" s="8"/>
      <c r="I22" s="8"/>
      <c r="J22" s="8"/>
      <c r="K22" s="8"/>
      <c r="L22" s="8"/>
      <c r="M22" s="8"/>
      <c r="N22" s="8"/>
      <c r="O22" s="8"/>
      <c r="P22" s="8"/>
      <c r="Q22" s="8"/>
      <c r="R22" s="8"/>
      <c r="S22" s="8"/>
      <c r="T22" s="8"/>
      <c r="U22" s="8"/>
    </row>
    <row r="23" spans="1:21" x14ac:dyDescent="0.3">
      <c r="A23" s="8"/>
      <c r="B23" s="8"/>
      <c r="C23" s="8"/>
      <c r="D23" s="8"/>
      <c r="E23" s="8"/>
      <c r="F23" s="8"/>
      <c r="G23" s="8"/>
      <c r="H23" s="8"/>
      <c r="I23" s="8"/>
      <c r="J23" s="8"/>
      <c r="K23" s="8"/>
      <c r="L23" s="8"/>
      <c r="M23" s="8"/>
      <c r="N23" s="8"/>
      <c r="O23" s="8"/>
      <c r="P23" s="8"/>
      <c r="Q23" s="8"/>
      <c r="R23" s="8"/>
      <c r="S23" s="8"/>
      <c r="T23" s="8"/>
      <c r="U23" s="8"/>
    </row>
    <row r="24" spans="1:21" x14ac:dyDescent="0.3">
      <c r="A24" s="8"/>
      <c r="B24" s="8"/>
      <c r="C24" s="8"/>
      <c r="D24" s="8"/>
      <c r="E24" s="8"/>
      <c r="F24" s="8"/>
      <c r="G24" s="8"/>
      <c r="H24" s="8"/>
      <c r="I24" s="8"/>
      <c r="J24" s="8"/>
      <c r="K24" s="8"/>
      <c r="L24" s="8"/>
      <c r="M24" s="8"/>
      <c r="N24" s="8"/>
      <c r="O24" s="8"/>
      <c r="P24" s="8"/>
      <c r="Q24" s="8"/>
      <c r="R24" s="8"/>
      <c r="S24" s="8"/>
      <c r="T24" s="8"/>
      <c r="U24" s="8"/>
    </row>
    <row r="25" spans="1:21" x14ac:dyDescent="0.3">
      <c r="A25" s="8"/>
      <c r="B25" s="8"/>
      <c r="C25" s="8"/>
      <c r="D25" s="8"/>
      <c r="E25" s="8"/>
      <c r="F25" s="8"/>
      <c r="G25" s="8"/>
      <c r="H25" s="8"/>
      <c r="I25" s="8"/>
      <c r="J25" s="8"/>
      <c r="K25" s="8"/>
      <c r="L25" s="8"/>
      <c r="M25" s="8"/>
      <c r="N25" s="8"/>
      <c r="O25" s="8"/>
      <c r="P25" s="8"/>
      <c r="Q25" s="8"/>
      <c r="R25" s="8"/>
      <c r="S25" s="8"/>
      <c r="T25" s="8"/>
      <c r="U25" s="8"/>
    </row>
    <row r="26" spans="1:21" x14ac:dyDescent="0.3">
      <c r="A26" s="8"/>
      <c r="B26" s="8"/>
      <c r="C26" s="8"/>
      <c r="D26" s="8"/>
      <c r="E26" s="8"/>
      <c r="F26" s="8"/>
      <c r="G26" s="8"/>
      <c r="H26" s="8"/>
      <c r="I26" s="8"/>
      <c r="J26" s="8"/>
      <c r="K26" s="8"/>
      <c r="L26" s="8"/>
      <c r="M26" s="8"/>
      <c r="N26" s="8"/>
      <c r="O26" s="8"/>
      <c r="P26" s="8"/>
      <c r="Q26" s="8"/>
      <c r="R26" s="8"/>
      <c r="S26" s="8"/>
      <c r="T26" s="8"/>
      <c r="U26" s="8"/>
    </row>
    <row r="27" spans="1:21" x14ac:dyDescent="0.3">
      <c r="A27" s="8"/>
      <c r="B27" s="8"/>
      <c r="C27" s="8"/>
      <c r="D27" s="8"/>
      <c r="E27" s="8"/>
      <c r="F27" s="8"/>
      <c r="G27" s="8"/>
      <c r="H27" s="8"/>
      <c r="I27" s="8"/>
      <c r="J27" s="8"/>
      <c r="K27" s="8"/>
      <c r="L27" s="8"/>
      <c r="M27" s="8"/>
      <c r="N27" s="8"/>
      <c r="O27" s="8"/>
      <c r="P27" s="8"/>
      <c r="Q27" s="8"/>
      <c r="R27" s="8"/>
      <c r="S27" s="8"/>
      <c r="T27" s="8"/>
      <c r="U27" s="8"/>
    </row>
    <row r="28" spans="1:21" x14ac:dyDescent="0.3">
      <c r="A28" s="8"/>
      <c r="B28" s="8"/>
      <c r="C28" s="8"/>
      <c r="D28" s="8"/>
      <c r="E28" s="8"/>
      <c r="F28" s="8"/>
      <c r="G28" s="8"/>
      <c r="H28" s="8"/>
      <c r="I28" s="8"/>
      <c r="J28" s="8"/>
      <c r="K28" s="8"/>
      <c r="L28" s="8"/>
      <c r="M28" s="8"/>
      <c r="N28" s="8"/>
      <c r="O28" s="8"/>
      <c r="P28" s="8"/>
      <c r="Q28" s="8"/>
      <c r="R28" s="8"/>
      <c r="S28" s="8"/>
      <c r="T28" s="8"/>
      <c r="U28" s="8"/>
    </row>
    <row r="29" spans="1:21" x14ac:dyDescent="0.3">
      <c r="A29" s="8"/>
      <c r="B29" s="8"/>
      <c r="C29" s="8"/>
      <c r="D29" s="8"/>
      <c r="E29" s="8"/>
      <c r="F29" s="8"/>
      <c r="G29" s="8"/>
      <c r="H29" s="8"/>
      <c r="I29" s="8"/>
      <c r="J29" s="8"/>
      <c r="K29" s="8"/>
      <c r="L29" s="8"/>
      <c r="M29" s="8"/>
      <c r="N29" s="8"/>
      <c r="O29" s="8"/>
      <c r="P29" s="8"/>
      <c r="Q29" s="8"/>
      <c r="R29" s="8"/>
      <c r="S29" s="8"/>
      <c r="T29" s="8"/>
      <c r="U29" s="8"/>
    </row>
    <row r="30" spans="1:21" x14ac:dyDescent="0.3">
      <c r="A30" s="8"/>
      <c r="B30" s="8"/>
      <c r="C30" s="8"/>
      <c r="D30" s="8"/>
      <c r="E30" s="8"/>
      <c r="F30" s="8"/>
      <c r="G30" s="8"/>
      <c r="H30" s="8"/>
      <c r="I30" s="8"/>
      <c r="J30" s="8"/>
      <c r="K30" s="8"/>
      <c r="L30" s="8"/>
      <c r="M30" s="8"/>
      <c r="N30" s="8"/>
      <c r="O30" s="8"/>
      <c r="P30" s="8"/>
      <c r="Q30" s="8"/>
      <c r="R30" s="8"/>
      <c r="S30" s="8"/>
      <c r="T30" s="8"/>
      <c r="U30" s="8"/>
    </row>
    <row r="31" spans="1:21" x14ac:dyDescent="0.3">
      <c r="A31" s="8"/>
      <c r="B31" s="8"/>
      <c r="C31" s="8"/>
      <c r="D31" s="8"/>
      <c r="E31" s="8"/>
      <c r="F31" s="8"/>
      <c r="G31" s="8"/>
      <c r="H31" s="8"/>
      <c r="I31" s="8"/>
      <c r="J31" s="8"/>
      <c r="K31" s="8"/>
      <c r="L31" s="8"/>
      <c r="M31" s="8"/>
      <c r="N31" s="8"/>
      <c r="O31" s="8"/>
      <c r="P31" s="8"/>
      <c r="Q31" s="8"/>
      <c r="R31" s="8"/>
      <c r="S31" s="8"/>
      <c r="T31" s="8"/>
      <c r="U31" s="8"/>
    </row>
    <row r="32" spans="1:21" x14ac:dyDescent="0.3">
      <c r="A32" s="8"/>
      <c r="B32" s="8"/>
      <c r="C32" s="8"/>
      <c r="D32" s="8"/>
      <c r="E32" s="8"/>
      <c r="F32" s="8"/>
      <c r="G32" s="8"/>
      <c r="H32" s="8"/>
      <c r="I32" s="8"/>
      <c r="J32" s="8"/>
      <c r="K32" s="8"/>
      <c r="L32" s="8"/>
      <c r="M32" s="8"/>
      <c r="N32" s="8"/>
      <c r="O32" s="8"/>
      <c r="P32" s="8"/>
      <c r="Q32" s="8"/>
      <c r="R32" s="8"/>
      <c r="S32" s="8"/>
      <c r="T32" s="8"/>
      <c r="U32" s="8"/>
    </row>
    <row r="33" spans="1:21" x14ac:dyDescent="0.3">
      <c r="A33" s="8"/>
      <c r="B33" s="8"/>
      <c r="C33" s="8"/>
      <c r="D33" s="8"/>
      <c r="E33" s="8"/>
      <c r="F33" s="8"/>
      <c r="G33" s="8"/>
      <c r="H33" s="8"/>
      <c r="I33" s="8"/>
      <c r="J33" s="8"/>
      <c r="K33" s="8"/>
      <c r="L33" s="8"/>
      <c r="M33" s="8"/>
      <c r="N33" s="8"/>
      <c r="O33" s="8"/>
      <c r="P33" s="8"/>
      <c r="Q33" s="8"/>
      <c r="R33" s="8"/>
      <c r="S33" s="8"/>
      <c r="T33" s="8"/>
      <c r="U33" s="8"/>
    </row>
    <row r="34" spans="1:21" x14ac:dyDescent="0.3">
      <c r="A34" s="8"/>
      <c r="B34" s="8"/>
      <c r="C34" s="8"/>
      <c r="D34" s="8"/>
      <c r="E34" s="8"/>
      <c r="F34" s="8"/>
      <c r="G34" s="8"/>
      <c r="H34" s="8"/>
      <c r="I34" s="8"/>
      <c r="J34" s="8"/>
      <c r="K34" s="8"/>
      <c r="L34" s="8"/>
      <c r="M34" s="8"/>
      <c r="N34" s="8"/>
      <c r="O34" s="8"/>
      <c r="P34" s="8"/>
      <c r="Q34" s="8"/>
      <c r="R34" s="8"/>
      <c r="S34" s="8"/>
      <c r="T34" s="8"/>
      <c r="U34" s="8"/>
    </row>
    <row r="35" spans="1:21" x14ac:dyDescent="0.3">
      <c r="A35" s="8"/>
      <c r="B35" s="8"/>
      <c r="C35" s="8"/>
      <c r="D35" s="8"/>
      <c r="E35" s="8"/>
      <c r="F35" s="8"/>
      <c r="G35" s="8"/>
      <c r="H35" s="8"/>
      <c r="I35" s="8"/>
      <c r="J35" s="8"/>
      <c r="K35" s="8"/>
      <c r="L35" s="8"/>
      <c r="M35" s="8"/>
      <c r="N35" s="8"/>
      <c r="O35" s="8"/>
      <c r="P35" s="8"/>
      <c r="Q35" s="8"/>
      <c r="R35" s="8"/>
      <c r="S35" s="8"/>
      <c r="T35" s="8"/>
      <c r="U35" s="8"/>
    </row>
    <row r="36" spans="1:21" x14ac:dyDescent="0.3">
      <c r="A36" s="8"/>
      <c r="B36" s="8"/>
      <c r="C36" s="8"/>
      <c r="D36" s="8"/>
      <c r="E36" s="8"/>
      <c r="F36" s="8"/>
      <c r="G36" s="8"/>
      <c r="H36" s="8"/>
      <c r="I36" s="8"/>
      <c r="J36" s="8"/>
      <c r="K36" s="8"/>
      <c r="L36" s="8"/>
      <c r="M36" s="8"/>
      <c r="N36" s="8"/>
      <c r="O36" s="8"/>
      <c r="P36" s="8"/>
      <c r="Q36" s="8"/>
      <c r="R36" s="8"/>
      <c r="S36" s="8"/>
      <c r="T36" s="8"/>
      <c r="U36" s="8"/>
    </row>
    <row r="37" spans="1:21" x14ac:dyDescent="0.3">
      <c r="A37" s="8"/>
      <c r="B37" s="8"/>
      <c r="C37" s="8"/>
      <c r="D37" s="8"/>
      <c r="E37" s="8"/>
      <c r="F37" s="8"/>
      <c r="G37" s="8"/>
      <c r="H37" s="8"/>
      <c r="I37" s="8"/>
      <c r="J37" s="8"/>
      <c r="K37" s="8"/>
      <c r="L37" s="8"/>
      <c r="M37" s="8"/>
      <c r="N37" s="8"/>
      <c r="O37" s="8"/>
      <c r="P37" s="8"/>
      <c r="Q37" s="8"/>
      <c r="R37" s="8"/>
      <c r="S37" s="8"/>
      <c r="T37" s="8"/>
      <c r="U37" s="8"/>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650D2-1152-4777-9CBF-45D348250303}">
  <dimension ref="A1"/>
  <sheetViews>
    <sheetView workbookViewId="0"/>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CB125-64AD-48D9-8EC0-ECB6D19A3924}">
  <dimension ref="A1"/>
  <sheetViews>
    <sheetView workbookViewId="0"/>
  </sheetViews>
  <sheetFormatPr defaultRowHeight="14.4" x14ac:dyDescent="0.3"/>
  <sheetData>
    <row r="1" spans="1:1" x14ac:dyDescent="0.3">
      <c r="A1" s="11"/>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71111-FDC0-42F9-B5E4-A0F9003CEC14}">
  <dimension ref="A1"/>
  <sheetViews>
    <sheetView workbookViewId="0"/>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Props1.xml><?xml version="1.0" encoding="utf-8"?>
<ds:datastoreItem xmlns:ds="http://schemas.openxmlformats.org/officeDocument/2006/customXml" ds:itemID="{34A37243-2DCA-4261-9FD2-482431F30891}">
  <ds:schemaRefs/>
</ds:datastoreItem>
</file>

<file path=customXml/itemProps2.xml><?xml version="1.0" encoding="utf-8"?>
<ds:datastoreItem xmlns:ds="http://schemas.openxmlformats.org/officeDocument/2006/customXml" ds:itemID="{DE241857-6CCE-4990-81A8-43892A0EB3A3}">
  <ds:schemaRefs/>
</ds:datastoreItem>
</file>

<file path=customXml/itemProps3.xml><?xml version="1.0" encoding="utf-8"?>
<ds:datastoreItem xmlns:ds="http://schemas.openxmlformats.org/officeDocument/2006/customXml" ds:itemID="{B78DCD65-A455-49DF-A8E3-447A98B72BE6}">
  <ds:schemaRefs/>
</ds:datastoreItem>
</file>

<file path=customXml/itemProps4.xml><?xml version="1.0" encoding="utf-8"?>
<ds:datastoreItem xmlns:ds="http://schemas.openxmlformats.org/officeDocument/2006/customXml" ds:itemID="{B44DBAEC-79E9-4F70-8D93-11C4BBC87872}">
  <ds:schemaRefs>
    <ds:schemaRef ds:uri="http://schemas.microsoft.com/DataMashup"/>
  </ds:schemaRefs>
</ds:datastoreItem>
</file>

<file path=customXml/itemProps5.xml><?xml version="1.0" encoding="utf-8"?>
<ds:datastoreItem xmlns:ds="http://schemas.openxmlformats.org/officeDocument/2006/customXml" ds:itemID="{3270921B-E501-4A1C-B10F-3E3809FDF549}">
  <ds:schemaRefs/>
</ds:datastoreItem>
</file>

<file path=customXml/itemProps6.xml><?xml version="1.0" encoding="utf-8"?>
<ds:datastoreItem xmlns:ds="http://schemas.openxmlformats.org/officeDocument/2006/customXml" ds:itemID="{539ACEED-3CB6-4F17-B6BF-77AFEEBB667D}">
  <ds:schemaRefs/>
</ds:datastoreItem>
</file>

<file path=customXml/itemProps7.xml><?xml version="1.0" encoding="utf-8"?>
<ds:datastoreItem xmlns:ds="http://schemas.openxmlformats.org/officeDocument/2006/customXml" ds:itemID="{2EEFEAE8-1232-48ED-8608-51CFF896B5D8}">
  <ds:schemaRefs/>
</ds:datastoreItem>
</file>

<file path=customXml/itemProps8.xml><?xml version="1.0" encoding="utf-8"?>
<ds:datastoreItem xmlns:ds="http://schemas.openxmlformats.org/officeDocument/2006/customXml" ds:itemID="{5742A708-B249-4847-AD12-F3D2A8822024}">
  <ds:schemaRefs/>
</ds:datastoreItem>
</file>

<file path=customXml/itemProps9.xml><?xml version="1.0" encoding="utf-8"?>
<ds:datastoreItem xmlns:ds="http://schemas.openxmlformats.org/officeDocument/2006/customXml" ds:itemID="{E6EDCEC7-4F66-4A5F-A454-41831607E7BE}">
  <ds:schemaRefs/>
</ds:datastoreItem>
</file>

<file path=customXml/itemProps10.xml><?xml version="1.0" encoding="utf-8"?>
<ds:datastoreItem xmlns:ds="http://schemas.openxmlformats.org/officeDocument/2006/customXml" ds:itemID="{04720165-ECF9-4C30-A652-060CE5A1A084}">
  <ds:schemaRefs/>
</ds:datastoreItem>
</file>

<file path=customXml/itemProps11.xml><?xml version="1.0" encoding="utf-8"?>
<ds:datastoreItem xmlns:ds="http://schemas.openxmlformats.org/officeDocument/2006/customXml" ds:itemID="{388739F4-A620-4FBB-A21C-EA32F3654E42}">
  <ds:schemaRefs/>
</ds:datastoreItem>
</file>

<file path=customXml/itemProps12.xml><?xml version="1.0" encoding="utf-8"?>
<ds:datastoreItem xmlns:ds="http://schemas.openxmlformats.org/officeDocument/2006/customXml" ds:itemID="{F7212978-464D-41A9-B771-837ECA9943B9}">
  <ds:schemaRefs/>
</ds:datastoreItem>
</file>

<file path=customXml/itemProps13.xml><?xml version="1.0" encoding="utf-8"?>
<ds:datastoreItem xmlns:ds="http://schemas.openxmlformats.org/officeDocument/2006/customXml" ds:itemID="{140EE20C-DC0C-44EC-AD13-EB81291670B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Visits</vt:lpstr>
      <vt:lpstr>Average Wait Time</vt:lpstr>
      <vt:lpstr>Satisfaction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Shadab Attar</dc:creator>
  <cp:lastModifiedBy>Shadab Attar</cp:lastModifiedBy>
  <dcterms:created xsi:type="dcterms:W3CDTF">2026-05-06T19:40:03Z</dcterms:created>
  <dcterms:modified xsi:type="dcterms:W3CDTF">2026-05-08T03:04:19Z</dcterms:modified>
</cp:coreProperties>
</file>